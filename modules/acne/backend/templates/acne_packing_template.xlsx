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B:\Products - ready to wear\ACNE STUDIOS\FW26\STYLES\WOMEN\PYXANO\Logistic\LOGISTICS\Export 31.07.2026\"/>
    </mc:Choice>
  </mc:AlternateContent>
  <xr:revisionPtr revIDLastSave="0" documentId="13_ncr:1_{857B5937-B4CF-4BEB-8299-6B751C2E0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king List" sheetId="4" r:id="rId1"/>
    <sheet name="summery" sheetId="5" r:id="rId2"/>
  </sheets>
  <definedNames>
    <definedName name="_xlnm.Print_Area" localSheetId="0">'Packing List'!$B$1:$W$166</definedName>
    <definedName name="_xlnm.Print_Area" localSheetId="1">summery!$A$1:$K$11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C16" i="4"/>
  <c r="K11" i="5"/>
  <c r="F11" i="5"/>
  <c r="G11" i="5"/>
  <c r="H11" i="5"/>
  <c r="I11" i="5"/>
  <c r="J11" i="5"/>
  <c r="E11" i="5"/>
  <c r="C15" i="4"/>
  <c r="V155" i="4"/>
  <c r="V156" i="4"/>
  <c r="V157" i="4"/>
  <c r="V158" i="4"/>
  <c r="V159" i="4"/>
  <c r="V160" i="4"/>
  <c r="V161" i="4"/>
  <c r="V162" i="4"/>
  <c r="V163" i="4"/>
  <c r="K7" i="5" l="1"/>
  <c r="V165" i="4" l="1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39" i="4"/>
  <c r="K4" i="5"/>
  <c r="K5" i="5"/>
  <c r="K6" i="5"/>
  <c r="K8" i="5"/>
  <c r="K9" i="5"/>
  <c r="K10" i="5"/>
  <c r="K3" i="5" l="1"/>
  <c r="V154" i="4" l="1"/>
  <c r="V164" i="4" l="1"/>
  <c r="V166" i="4" l="1"/>
  <c r="C18" i="4" l="1"/>
</calcChain>
</file>

<file path=xl/sharedStrings.xml><?xml version="1.0" encoding="utf-8"?>
<sst xmlns="http://schemas.openxmlformats.org/spreadsheetml/2006/main" count="220" uniqueCount="80">
  <si>
    <t>PACKING LIST</t>
  </si>
  <si>
    <t>20260731-5</t>
  </si>
  <si>
    <t>SHIPPER ADDRESS</t>
  </si>
  <si>
    <t>DELIVERY ADDRESS</t>
  </si>
  <si>
    <t>Acne Studios PO #:</t>
  </si>
  <si>
    <t>001-P094816</t>
  </si>
  <si>
    <t>Style Name:</t>
  </si>
  <si>
    <t>Pyxano Wool Pinstripe  Women Trousers</t>
  </si>
  <si>
    <t>PELINTEX BULGARIA LTD</t>
  </si>
  <si>
    <t>AIU Logistics</t>
  </si>
  <si>
    <t>Vendor Invoice #:</t>
  </si>
  <si>
    <t>5 HRISTO BOTEV BLVD</t>
  </si>
  <si>
    <t>Finspångsgatan 49</t>
  </si>
  <si>
    <t>RUSE 7000</t>
  </si>
  <si>
    <t>163 53 Spånga</t>
  </si>
  <si>
    <t>Partial Shipment:</t>
  </si>
  <si>
    <r>
      <t xml:space="preserve">þ </t>
    </r>
    <r>
      <rPr>
        <sz val="20"/>
        <color theme="1"/>
        <rFont val="Calibri"/>
        <family val="2"/>
        <scheme val="minor"/>
      </rPr>
      <t xml:space="preserve">Partial Shipment #: </t>
    </r>
    <r>
      <rPr>
        <sz val="20"/>
        <color rgb="FFFF0000"/>
        <rFont val="Calibri"/>
        <family val="2"/>
        <scheme val="minor"/>
      </rPr>
      <t>X</t>
    </r>
  </si>
  <si>
    <t>TTL # of Cartons in PO:</t>
  </si>
  <si>
    <t>BULGARIA</t>
  </si>
  <si>
    <t>Sweden</t>
  </si>
  <si>
    <t>TTL CMB</t>
  </si>
  <si>
    <t>TTL NNW (kg):</t>
  </si>
  <si>
    <t>TTL NW (kg):</t>
  </si>
  <si>
    <t>TTL GW (kg):</t>
  </si>
  <si>
    <r>
      <rPr>
        <b/>
        <sz val="10"/>
        <color theme="1"/>
        <rFont val="Calibri"/>
        <family val="2"/>
        <scheme val="minor"/>
      </rPr>
      <t>NNW</t>
    </r>
    <r>
      <rPr>
        <sz val="10"/>
        <color theme="1"/>
        <rFont val="Calibri"/>
        <family val="2"/>
        <scheme val="minor"/>
      </rPr>
      <t xml:space="preserve"> - Net Net Weight - Weight of merchandise excluding weight of packaging &amp; weight of container</t>
    </r>
  </si>
  <si>
    <t>Current Date:</t>
  </si>
  <si>
    <r>
      <rPr>
        <b/>
        <sz val="10"/>
        <color theme="1"/>
        <rFont val="Calibri"/>
        <family val="2"/>
        <scheme val="minor"/>
      </rPr>
      <t>NW</t>
    </r>
    <r>
      <rPr>
        <sz val="10"/>
        <color theme="1"/>
        <rFont val="Calibri"/>
        <family val="2"/>
        <scheme val="minor"/>
      </rPr>
      <t xml:space="preserve"> - Net Weight - Weight of merchandise plus weight of packaging excluding weight of container</t>
    </r>
  </si>
  <si>
    <t>Ship Date:</t>
  </si>
  <si>
    <r>
      <rPr>
        <b/>
        <sz val="10"/>
        <color theme="1"/>
        <rFont val="Calibri"/>
        <family val="2"/>
        <scheme val="minor"/>
      </rPr>
      <t>GW</t>
    </r>
    <r>
      <rPr>
        <sz val="10"/>
        <color theme="1"/>
        <rFont val="Calibri"/>
        <family val="2"/>
        <scheme val="minor"/>
      </rPr>
      <t xml:space="preserve"> - Gross Weight - Weight of merchandise plus weight of packaging plus weight of container</t>
    </r>
  </si>
  <si>
    <t>AWB # or BL #:</t>
  </si>
  <si>
    <t>Tracking or Trailer #:</t>
  </si>
  <si>
    <t>SIZE SCALE</t>
  </si>
  <si>
    <t>PRODUCT CATEGORIES</t>
  </si>
  <si>
    <t>One Size</t>
  </si>
  <si>
    <t>ACCESSORIES</t>
  </si>
  <si>
    <t>40-42</t>
  </si>
  <si>
    <t>43-46</t>
  </si>
  <si>
    <t>SOCKS</t>
  </si>
  <si>
    <t>XS/S</t>
  </si>
  <si>
    <t>M/L</t>
  </si>
  <si>
    <t>KNITS</t>
  </si>
  <si>
    <t>MINI</t>
  </si>
  <si>
    <t>XXS</t>
  </si>
  <si>
    <t>XS</t>
  </si>
  <si>
    <t>S</t>
  </si>
  <si>
    <t>M</t>
  </si>
  <si>
    <t>L</t>
  </si>
  <si>
    <t>XL</t>
  </si>
  <si>
    <t>KNITS, JERSEY, FLEECE</t>
  </si>
  <si>
    <t>MULTIPLE FEMALE CATEGORIES</t>
  </si>
  <si>
    <t>MULTIPLE MALE CATEGORIES</t>
  </si>
  <si>
    <t>SHOES</t>
  </si>
  <si>
    <t>DENIM</t>
  </si>
  <si>
    <r>
      <t>DENIM BOTTOMS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</si>
  <si>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r>
      <t>UNISEX DENIM (</t>
    </r>
    <r>
      <rPr>
        <sz val="11"/>
        <color rgb="FF00B050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0070C0"/>
        <rFont val="Calibri"/>
        <family val="2"/>
        <scheme val="minor"/>
      </rPr>
      <t>PETIT</t>
    </r>
    <r>
      <rPr>
        <sz val="11"/>
        <color theme="1"/>
        <rFont val="Calibri"/>
        <family val="2"/>
        <scheme val="minor"/>
      </rPr>
      <t>)</t>
    </r>
  </si>
  <si>
    <t>Hanging</t>
  </si>
  <si>
    <t>STYLE NAME</t>
  </si>
  <si>
    <t>COLOR NAME</t>
  </si>
  <si>
    <t>COLOR CODE</t>
  </si>
  <si>
    <t>CHOOSE APPLICABLE SIZE SCALE FROM ROWS ABOVE (DO NOT MIX ROWS!)</t>
  </si>
  <si>
    <t>TTL UNITS</t>
  </si>
  <si>
    <t>Boxes</t>
  </si>
  <si>
    <t xml:space="preserve">Pyxano Wool Pinstripe  Women Trousers </t>
  </si>
  <si>
    <t>Navy Blue</t>
  </si>
  <si>
    <t>60/40/40</t>
  </si>
  <si>
    <t>Black</t>
  </si>
  <si>
    <t>TTL PO:</t>
  </si>
  <si>
    <t>NO ORDER/ N поръчка: Pyxano</t>
  </si>
  <si>
    <t>STYLE CODE</t>
  </si>
  <si>
    <t>COLOR / ЦВЯТ</t>
  </si>
  <si>
    <t>TOTAL</t>
  </si>
  <si>
    <t>Скроено</t>
  </si>
  <si>
    <t>China</t>
  </si>
  <si>
    <t>USA</t>
  </si>
  <si>
    <t>Japan</t>
  </si>
  <si>
    <t>Korea</t>
  </si>
  <si>
    <t>Shipping</t>
  </si>
  <si>
    <t>keeping</t>
  </si>
  <si>
    <r>
      <rPr>
        <b/>
        <sz val="16"/>
        <color theme="1"/>
        <rFont val="Calibri"/>
        <family val="2"/>
        <scheme val="minor"/>
      </rPr>
      <t xml:space="preserve">TOTAL per size </t>
    </r>
    <r>
      <rPr>
        <sz val="16"/>
        <color theme="1"/>
        <rFont val="Calibri"/>
        <family val="2"/>
        <scheme val="minor"/>
      </rPr>
      <t xml:space="preserve">
ВСИЧКО по размер</t>
    </r>
  </si>
  <si>
    <t>Spanga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</si>
</sst>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20"/>
      <color theme="1"/>
      <name val="Wingdings"/>
      <charset val="2"/>
    </font>
    <font>
      <sz val="26"/>
      <color theme="1"/>
      <name val="Wingdings"/>
      <charset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B0F0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2" fillId="0" borderId="0" xfId="0" applyFont="1"/>
    <xf numFmtId="14" fontId="0" fillId="0" borderId="2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1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 vertical="center"/>
    </xf>
    <xf numFmtId="0" fontId="0" fillId="6" borderId="20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17" xfId="0" applyBorder="1"/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0" fillId="0" borderId="51" xfId="0" applyBorder="1"/>
    <xf numFmtId="0" fontId="0" fillId="0" borderId="51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0" borderId="0" xfId="0" applyAlignment="1">
      <alignment horizontal="left"/>
    </xf>
    <xf numFmtId="0" fontId="14" fillId="9" borderId="21" xfId="0" applyFont="1" applyFill="1" applyBorder="1"/>
    <xf numFmtId="0" fontId="14" fillId="9" borderId="48" xfId="0" applyFont="1" applyFill="1" applyBorder="1"/>
    <xf numFmtId="0" fontId="14" fillId="9" borderId="48" xfId="0" applyFont="1" applyFill="1" applyBorder="1" applyAlignment="1">
      <alignment horizontal="center"/>
    </xf>
    <xf numFmtId="0" fontId="16" fillId="9" borderId="54" xfId="0" applyFont="1" applyFill="1" applyBorder="1" applyAlignment="1">
      <alignment horizontal="center"/>
    </xf>
    <xf numFmtId="0" fontId="14" fillId="0" borderId="32" xfId="0" applyFont="1" applyBorder="1"/>
    <xf numFmtId="1" fontId="14" fillId="0" borderId="32" xfId="0" applyNumberFormat="1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9" fontId="14" fillId="0" borderId="32" xfId="0" applyNumberFormat="1" applyFont="1" applyBorder="1" applyAlignment="1">
      <alignment wrapText="1"/>
    </xf>
    <xf numFmtId="0" fontId="16" fillId="0" borderId="32" xfId="0" applyFont="1" applyBorder="1"/>
    <xf numFmtId="0" fontId="17" fillId="0" borderId="32" xfId="0" applyFont="1" applyBorder="1"/>
    <xf numFmtId="0" fontId="15" fillId="0" borderId="32" xfId="0" applyFont="1" applyBorder="1"/>
    <xf numFmtId="1" fontId="14" fillId="0" borderId="32" xfId="0" applyNumberFormat="1" applyFont="1" applyBorder="1" applyAlignment="1">
      <alignment horizontal="center" vertical="center"/>
    </xf>
    <xf numFmtId="0" fontId="0" fillId="10" borderId="0" xfId="0" applyFill="1"/>
    <xf numFmtId="0" fontId="18" fillId="0" borderId="32" xfId="0" applyFont="1" applyBorder="1" applyAlignment="1">
      <alignment vertical="center" wrapText="1"/>
    </xf>
    <xf numFmtId="0" fontId="0" fillId="11" borderId="0" xfId="0" applyFill="1"/>
    <xf numFmtId="0" fontId="0" fillId="11" borderId="16" xfId="0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48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4" borderId="26" xfId="0" applyFont="1" applyFill="1" applyBorder="1" applyAlignment="1">
      <alignment horizontal="right"/>
    </xf>
    <xf numFmtId="0" fontId="3" fillId="4" borderId="38" xfId="0" applyFont="1" applyFill="1" applyBorder="1" applyAlignment="1">
      <alignment horizontal="right"/>
    </xf>
    <xf numFmtId="0" fontId="3" fillId="4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14" fillId="9" borderId="26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938925</xdr:colOff>
      <xdr:row>1</xdr:row>
      <xdr:rowOff>175451</xdr:rowOff>
    </xdr:from>
    <xdr:to>
      <xdr:col>12</xdr:col>
      <xdr:colOff>550909</xdr:colOff>
      <xdr:row>5</xdr:row>
      <xdr:rowOff>168531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72068" y="356880"/>
          <a:ext cx="5385221" cy="722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Acne Studios Theme">
  <a:themeElements>
    <a:clrScheme name="Acne">
      <a:dk1>
        <a:sysClr val="windowText" lastClr="000000"/>
      </a:dk1>
      <a:lt1>
        <a:srgbClr val="FFFFFF"/>
      </a:lt1>
      <a:dk2>
        <a:srgbClr val="F68F7E"/>
      </a:dk2>
      <a:lt2>
        <a:srgbClr val="FFFFFF"/>
      </a:lt2>
      <a:accent1>
        <a:srgbClr val="F68F7E"/>
      </a:accent1>
      <a:accent2>
        <a:srgbClr val="F2F2F2"/>
      </a:accent2>
      <a:accent3>
        <a:srgbClr val="D8D8D8"/>
      </a:accent3>
      <a:accent4>
        <a:srgbClr val="BFBFBF"/>
      </a:accent4>
      <a:accent5>
        <a:srgbClr val="A5A5A5"/>
      </a:accent5>
      <a:accent6>
        <a:srgbClr val="7F7F7F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wrap="square" rtlCol="0">
        <a:spAutoFit/>
      </a:bodyPr>
      <a:lstStyle>
        <a:defPPr>
          <a:lnSpc>
            <a:spcPts val="4000"/>
          </a:lnSpc>
          <a:defRPr sz="2600" dirty="0" err="1" smtClean="0">
            <a:latin typeface="AcneStudiosCircleRegular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cne Studios Theme" id="{30D4DE6E-4223-4566-8B51-02DB01F0569D}" vid="{1067416A-8F39-4B2E-9A55-E6B37656933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5:X168"/>
  <sheetViews>
    <sheetView showGridLines="0" tabSelected="1" view="pageBreakPreview" topLeftCell="A9" zoomScale="82" zoomScaleNormal="82" zoomScaleSheetLayoutView="82" zoomScalePageLayoutView="70" workbookViewId="0">
      <selection activeCell="C18" sqref="C18"/>
    </sheetView>
  </sheetViews>
  <sheetFormatPr defaultColWidth="8.7109375" defaultRowHeight="14.45"/>
  <cols>
    <col min="2" max="2" width="19.85546875" customWidth="1"/>
    <col min="3" max="3" width="34.85546875" customWidth="1"/>
    <col min="4" max="5" width="20.7109375" customWidth="1"/>
    <col min="21" max="21" width="11.42578125" customWidth="1"/>
    <col min="22" max="22" width="26.42578125" customWidth="1"/>
    <col min="23" max="23" width="42" customWidth="1"/>
    <col min="24" max="24" width="20.7109375" customWidth="1"/>
    <col min="25" max="25" width="22.7109375" bestFit="1" customWidth="1"/>
  </cols>
  <sheetData>
    <row r="5" spans="2:23"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8" spans="2:23" ht="15" thickBot="1">
      <c r="B8" t="s">
        <v>0</v>
      </c>
      <c r="C8" s="65" t="s">
        <v>1</v>
      </c>
    </row>
    <row r="9" spans="2:23" ht="15" thickBot="1">
      <c r="E9" s="92" t="s">
        <v>2</v>
      </c>
      <c r="F9" s="93"/>
      <c r="G9" s="93"/>
      <c r="H9" s="94"/>
      <c r="J9" s="95" t="s">
        <v>3</v>
      </c>
      <c r="K9" s="96"/>
      <c r="L9" s="96"/>
      <c r="M9" s="96"/>
      <c r="N9" s="96"/>
      <c r="O9" s="97"/>
      <c r="W9" s="37"/>
    </row>
    <row r="10" spans="2:23">
      <c r="B10" s="1" t="s">
        <v>4</v>
      </c>
      <c r="C10" s="2" t="s">
        <v>5</v>
      </c>
      <c r="E10" s="89"/>
      <c r="F10" s="90"/>
      <c r="G10" s="90"/>
      <c r="H10" s="91"/>
      <c r="J10" s="86"/>
      <c r="K10" s="87"/>
      <c r="L10" s="87"/>
      <c r="M10" s="87"/>
      <c r="N10" s="87"/>
      <c r="O10" s="88"/>
    </row>
    <row r="11" spans="2:23" ht="27.6" customHeight="1">
      <c r="B11" s="3" t="s">
        <v>6</v>
      </c>
      <c r="C11" s="73" t="s">
        <v>7</v>
      </c>
      <c r="E11" s="86" t="s">
        <v>8</v>
      </c>
      <c r="F11" s="87"/>
      <c r="G11" s="87"/>
      <c r="H11" s="88"/>
      <c r="J11" s="86" t="s">
        <v>9</v>
      </c>
      <c r="K11" s="87"/>
      <c r="L11" s="87"/>
      <c r="M11" s="87"/>
      <c r="N11" s="87"/>
      <c r="O11" s="88"/>
      <c r="V11" s="40"/>
      <c r="W11" s="39"/>
    </row>
    <row r="12" spans="2:23" ht="15" thickBot="1">
      <c r="B12" s="4" t="s">
        <v>10</v>
      </c>
      <c r="C12" s="5"/>
      <c r="E12" s="86" t="s">
        <v>11</v>
      </c>
      <c r="F12" s="87"/>
      <c r="G12" s="87"/>
      <c r="H12" s="88"/>
      <c r="J12" s="86" t="s">
        <v>12</v>
      </c>
      <c r="K12" s="87"/>
      <c r="L12" s="87"/>
      <c r="M12" s="87"/>
      <c r="N12" s="87"/>
      <c r="O12" s="88"/>
    </row>
    <row r="13" spans="2:23" ht="26.45" thickBot="1">
      <c r="C13" s="6"/>
      <c r="E13" s="86" t="s">
        <v>13</v>
      </c>
      <c r="F13" s="87"/>
      <c r="G13" s="87"/>
      <c r="H13" s="88"/>
      <c r="J13" s="86" t="s">
        <v>14</v>
      </c>
      <c r="K13" s="87"/>
      <c r="L13" s="87"/>
      <c r="M13" s="87"/>
      <c r="N13" s="87"/>
      <c r="O13" s="88"/>
      <c r="V13" s="40" t="s">
        <v>15</v>
      </c>
      <c r="W13" s="38" t="s">
        <v>16</v>
      </c>
    </row>
    <row r="14" spans="2:23">
      <c r="B14" s="1" t="s">
        <v>17</v>
      </c>
      <c r="C14" s="2">
        <v>9</v>
      </c>
      <c r="E14" s="86" t="s">
        <v>18</v>
      </c>
      <c r="F14" s="87"/>
      <c r="G14" s="87"/>
      <c r="H14" s="88"/>
      <c r="J14" s="86" t="s">
        <v>19</v>
      </c>
      <c r="K14" s="87"/>
      <c r="L14" s="87"/>
      <c r="M14" s="87"/>
      <c r="N14" s="87"/>
      <c r="O14" s="88"/>
    </row>
    <row r="15" spans="2:23">
      <c r="B15" s="7" t="s">
        <v>20</v>
      </c>
      <c r="C15" s="8">
        <f>(0.6*0.4*0.4)*C14</f>
        <v>0.86399999999999999</v>
      </c>
      <c r="E15" s="86"/>
      <c r="F15" s="87"/>
      <c r="G15" s="87"/>
      <c r="H15" s="88"/>
      <c r="J15" s="86"/>
      <c r="K15" s="87"/>
      <c r="L15" s="87"/>
      <c r="M15" s="87"/>
      <c r="N15" s="87"/>
      <c r="O15" s="88"/>
    </row>
    <row r="16" spans="2:23" ht="15" thickBot="1">
      <c r="B16" s="7" t="s">
        <v>21</v>
      </c>
      <c r="C16" s="8">
        <f>0.32*V166</f>
        <v>128.64000000000001</v>
      </c>
      <c r="E16" s="110"/>
      <c r="F16" s="111"/>
      <c r="G16" s="111"/>
      <c r="H16" s="112"/>
      <c r="J16" s="110"/>
      <c r="K16" s="111"/>
      <c r="L16" s="111"/>
      <c r="M16" s="111"/>
      <c r="N16" s="111"/>
      <c r="O16" s="112"/>
    </row>
    <row r="17" spans="2:24">
      <c r="B17" s="7" t="s">
        <v>22</v>
      </c>
      <c r="C17" s="8">
        <f>0.32*V166</f>
        <v>128.64000000000001</v>
      </c>
    </row>
    <row r="18" spans="2:24" ht="15" thickBot="1">
      <c r="B18" s="4" t="s">
        <v>23</v>
      </c>
      <c r="C18" s="5">
        <f>C17+5</f>
        <v>133.64000000000001</v>
      </c>
      <c r="E18" s="36" t="s">
        <v>24</v>
      </c>
    </row>
    <row r="19" spans="2:24" ht="15" thickBot="1">
      <c r="C19" s="6"/>
      <c r="E19" s="9"/>
    </row>
    <row r="20" spans="2:24">
      <c r="B20" s="1" t="s">
        <v>25</v>
      </c>
      <c r="C20" s="10">
        <v>46234</v>
      </c>
      <c r="E20" s="36" t="s">
        <v>26</v>
      </c>
    </row>
    <row r="21" spans="2:24" ht="15" thickBot="1">
      <c r="B21" s="4" t="s">
        <v>27</v>
      </c>
      <c r="C21" s="11">
        <v>46234</v>
      </c>
      <c r="E21" s="9"/>
    </row>
    <row r="22" spans="2:24" ht="15" thickBot="1">
      <c r="C22" s="12"/>
      <c r="E22" s="36" t="s">
        <v>28</v>
      </c>
    </row>
    <row r="23" spans="2:24">
      <c r="B23" s="13" t="s">
        <v>29</v>
      </c>
      <c r="C23" s="35"/>
    </row>
    <row r="24" spans="2:24" ht="15" thickBot="1">
      <c r="B24" s="4" t="s">
        <v>30</v>
      </c>
      <c r="C24" s="5"/>
    </row>
    <row r="25" spans="2:24" ht="15" thickBot="1">
      <c r="C25" s="6"/>
      <c r="F25" s="6"/>
      <c r="G25" s="6"/>
      <c r="H25" s="6"/>
      <c r="I25" s="6"/>
      <c r="J25" s="6"/>
      <c r="K25" s="6"/>
    </row>
    <row r="26" spans="2:24" ht="15" thickBot="1">
      <c r="F26" s="124" t="s">
        <v>31</v>
      </c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6"/>
      <c r="R26" s="126"/>
      <c r="S26" s="126"/>
      <c r="T26" s="126"/>
      <c r="U26" s="127"/>
      <c r="V26" s="102" t="s">
        <v>32</v>
      </c>
      <c r="W26" s="103"/>
    </row>
    <row r="27" spans="2:24">
      <c r="F27" s="14" t="s">
        <v>33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6"/>
      <c r="S27" s="16"/>
      <c r="T27" s="16"/>
      <c r="U27" s="27"/>
      <c r="V27" s="104" t="s">
        <v>34</v>
      </c>
      <c r="W27" s="105"/>
    </row>
    <row r="28" spans="2:24">
      <c r="F28" s="17" t="s">
        <v>35</v>
      </c>
      <c r="G28" s="18" t="s">
        <v>36</v>
      </c>
      <c r="H28" s="18"/>
      <c r="I28" s="18"/>
      <c r="J28" s="18"/>
      <c r="K28" s="18"/>
      <c r="L28" s="18"/>
      <c r="M28" s="18"/>
      <c r="N28" s="18"/>
      <c r="O28" s="18"/>
      <c r="P28" s="18"/>
      <c r="Q28" s="19"/>
      <c r="R28" s="19"/>
      <c r="S28" s="19"/>
      <c r="T28" s="19"/>
      <c r="U28" s="8"/>
      <c r="V28" s="100" t="s">
        <v>37</v>
      </c>
      <c r="W28" s="101"/>
    </row>
    <row r="29" spans="2:24">
      <c r="F29" s="17" t="s">
        <v>38</v>
      </c>
      <c r="G29" s="18" t="s">
        <v>39</v>
      </c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19"/>
      <c r="S29" s="19"/>
      <c r="T29" s="19"/>
      <c r="U29" s="8"/>
      <c r="V29" s="100" t="s">
        <v>40</v>
      </c>
      <c r="W29" s="101"/>
    </row>
    <row r="30" spans="2:24">
      <c r="F30" s="17">
        <v>2</v>
      </c>
      <c r="G30" s="20">
        <v>3</v>
      </c>
      <c r="H30" s="18">
        <v>4</v>
      </c>
      <c r="I30" s="18">
        <v>6</v>
      </c>
      <c r="J30" s="18">
        <v>8</v>
      </c>
      <c r="K30" s="18">
        <v>10</v>
      </c>
      <c r="L30" s="18"/>
      <c r="M30" s="18"/>
      <c r="N30" s="18"/>
      <c r="O30" s="18"/>
      <c r="P30" s="18"/>
      <c r="Q30" s="19"/>
      <c r="R30" s="19"/>
      <c r="S30" s="19"/>
      <c r="T30" s="19"/>
      <c r="U30" s="8"/>
      <c r="V30" s="100" t="s">
        <v>41</v>
      </c>
      <c r="W30" s="101"/>
    </row>
    <row r="31" spans="2:24">
      <c r="F31" s="17" t="s">
        <v>42</v>
      </c>
      <c r="G31" s="17" t="s">
        <v>43</v>
      </c>
      <c r="H31" s="18" t="s">
        <v>44</v>
      </c>
      <c r="I31" s="18" t="s">
        <v>45</v>
      </c>
      <c r="J31" s="18" t="s">
        <v>46</v>
      </c>
      <c r="K31" s="18" t="s">
        <v>47</v>
      </c>
      <c r="L31" s="18"/>
      <c r="M31" s="18"/>
      <c r="N31" s="18"/>
      <c r="O31" s="18"/>
      <c r="P31" s="18"/>
      <c r="Q31" s="19"/>
      <c r="R31" s="19"/>
      <c r="S31" s="19"/>
      <c r="T31" s="19"/>
      <c r="U31" s="8"/>
      <c r="V31" s="100" t="s">
        <v>48</v>
      </c>
      <c r="W31" s="101"/>
    </row>
    <row r="32" spans="2:24">
      <c r="F32" s="61">
        <v>32</v>
      </c>
      <c r="G32" s="62">
        <v>34</v>
      </c>
      <c r="H32" s="62">
        <v>36</v>
      </c>
      <c r="I32" s="62">
        <v>38</v>
      </c>
      <c r="J32" s="62">
        <v>40</v>
      </c>
      <c r="K32" s="62">
        <v>42</v>
      </c>
      <c r="L32" s="62"/>
      <c r="M32" s="62"/>
      <c r="N32" s="62"/>
      <c r="O32" s="62"/>
      <c r="P32" s="62"/>
      <c r="Q32" s="63"/>
      <c r="R32" s="63"/>
      <c r="S32" s="63"/>
      <c r="T32" s="63"/>
      <c r="U32" s="64"/>
      <c r="V32" s="106" t="s">
        <v>49</v>
      </c>
      <c r="W32" s="107"/>
      <c r="X32" s="79"/>
    </row>
    <row r="33" spans="2:23" s="81" customFormat="1">
      <c r="F33" s="82">
        <v>44</v>
      </c>
      <c r="G33" s="83">
        <v>46</v>
      </c>
      <c r="H33" s="83">
        <v>48</v>
      </c>
      <c r="I33" s="83">
        <v>50</v>
      </c>
      <c r="J33" s="83">
        <v>52</v>
      </c>
      <c r="K33" s="83">
        <v>54</v>
      </c>
      <c r="L33" s="83"/>
      <c r="M33" s="83"/>
      <c r="N33" s="83"/>
      <c r="O33" s="83"/>
      <c r="P33" s="83"/>
      <c r="Q33" s="84"/>
      <c r="R33" s="84"/>
      <c r="S33" s="84"/>
      <c r="T33" s="84"/>
      <c r="U33" s="85"/>
      <c r="V33" s="108" t="s">
        <v>50</v>
      </c>
      <c r="W33" s="109"/>
    </row>
    <row r="34" spans="2:23">
      <c r="F34" s="17">
        <v>35</v>
      </c>
      <c r="G34" s="18">
        <v>36</v>
      </c>
      <c r="H34" s="18">
        <v>37</v>
      </c>
      <c r="I34" s="18">
        <v>38</v>
      </c>
      <c r="J34" s="18">
        <v>39</v>
      </c>
      <c r="K34" s="18">
        <v>40</v>
      </c>
      <c r="L34" s="18">
        <v>41</v>
      </c>
      <c r="M34" s="18">
        <v>42</v>
      </c>
      <c r="N34" s="18">
        <v>43</v>
      </c>
      <c r="O34" s="18">
        <v>44</v>
      </c>
      <c r="P34" s="18">
        <v>45</v>
      </c>
      <c r="Q34" s="19">
        <v>46</v>
      </c>
      <c r="R34" s="19"/>
      <c r="S34" s="19"/>
      <c r="T34" s="19"/>
      <c r="U34" s="8"/>
      <c r="V34" s="100" t="s">
        <v>51</v>
      </c>
      <c r="W34" s="101"/>
    </row>
    <row r="35" spans="2:23">
      <c r="F35" s="21">
        <v>24</v>
      </c>
      <c r="G35" s="22">
        <v>25</v>
      </c>
      <c r="H35" s="22">
        <v>26</v>
      </c>
      <c r="I35" s="22">
        <v>27</v>
      </c>
      <c r="J35" s="22">
        <v>28</v>
      </c>
      <c r="K35" s="22">
        <v>29</v>
      </c>
      <c r="L35" s="22">
        <v>30</v>
      </c>
      <c r="M35" s="22">
        <v>31</v>
      </c>
      <c r="N35" s="22">
        <v>32</v>
      </c>
      <c r="O35" s="22">
        <v>33</v>
      </c>
      <c r="P35" s="22">
        <v>34</v>
      </c>
      <c r="Q35" s="23">
        <v>36</v>
      </c>
      <c r="R35" s="23"/>
      <c r="S35" s="23"/>
      <c r="T35" s="19"/>
      <c r="U35" s="57"/>
      <c r="V35" s="100" t="s">
        <v>52</v>
      </c>
      <c r="W35" s="101"/>
    </row>
    <row r="36" spans="2:23">
      <c r="F36" s="53">
        <v>111</v>
      </c>
      <c r="G36" s="54">
        <v>112</v>
      </c>
      <c r="H36" s="54">
        <v>113</v>
      </c>
      <c r="I36" s="54">
        <v>114</v>
      </c>
      <c r="J36" s="54">
        <v>115</v>
      </c>
      <c r="K36" s="54">
        <v>116</v>
      </c>
      <c r="L36" s="54">
        <v>117</v>
      </c>
      <c r="M36" s="55">
        <v>121</v>
      </c>
      <c r="N36" s="55">
        <v>122</v>
      </c>
      <c r="O36" s="55">
        <v>123</v>
      </c>
      <c r="P36" s="55">
        <v>124</v>
      </c>
      <c r="Q36" s="55">
        <v>125</v>
      </c>
      <c r="R36" s="55">
        <v>126</v>
      </c>
      <c r="S36" s="55">
        <v>127</v>
      </c>
      <c r="T36" s="23"/>
      <c r="U36" s="57"/>
      <c r="V36" s="98" t="s">
        <v>53</v>
      </c>
      <c r="W36" s="99"/>
    </row>
    <row r="37" spans="2:23" ht="15" thickBot="1">
      <c r="F37" s="49">
        <v>140</v>
      </c>
      <c r="G37" s="47">
        <v>141</v>
      </c>
      <c r="H37" s="47">
        <v>142</v>
      </c>
      <c r="I37" s="47">
        <v>143</v>
      </c>
      <c r="J37" s="47">
        <v>144</v>
      </c>
      <c r="K37" s="47">
        <v>145</v>
      </c>
      <c r="L37" s="47">
        <v>146</v>
      </c>
      <c r="M37" s="47">
        <v>147</v>
      </c>
      <c r="N37" s="48">
        <v>148</v>
      </c>
      <c r="O37" s="48">
        <v>149</v>
      </c>
      <c r="P37" s="48">
        <v>150</v>
      </c>
      <c r="Q37" s="48">
        <v>151</v>
      </c>
      <c r="R37" s="48">
        <v>152</v>
      </c>
      <c r="S37" s="48">
        <v>153</v>
      </c>
      <c r="T37" s="50">
        <v>154</v>
      </c>
      <c r="U37" s="51">
        <v>155</v>
      </c>
      <c r="V37" s="100" t="s">
        <v>54</v>
      </c>
      <c r="W37" s="101"/>
    </row>
    <row r="38" spans="2:23" ht="15" thickBot="1">
      <c r="B38" s="24" t="s">
        <v>55</v>
      </c>
      <c r="C38" s="25" t="s">
        <v>56</v>
      </c>
      <c r="D38" s="25" t="s">
        <v>57</v>
      </c>
      <c r="E38" s="26" t="s">
        <v>58</v>
      </c>
      <c r="F38" s="117" t="s">
        <v>59</v>
      </c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9"/>
      <c r="V38" s="41" t="s">
        <v>60</v>
      </c>
      <c r="W38" s="42" t="s">
        <v>61</v>
      </c>
    </row>
    <row r="39" spans="2:23">
      <c r="B39" s="14"/>
      <c r="C39" s="15" t="s">
        <v>62</v>
      </c>
      <c r="D39" s="15" t="s">
        <v>63</v>
      </c>
      <c r="E39" s="15">
        <v>885</v>
      </c>
      <c r="F39" s="14">
        <v>38</v>
      </c>
      <c r="G39" s="15">
        <v>7</v>
      </c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6"/>
      <c r="S39" s="16"/>
      <c r="T39" s="16"/>
      <c r="U39" s="27"/>
      <c r="V39" s="28">
        <f>SUM(F39:K39)</f>
        <v>45</v>
      </c>
      <c r="W39" s="29" t="s">
        <v>64</v>
      </c>
    </row>
    <row r="40" spans="2:23">
      <c r="B40" s="14"/>
      <c r="C40" s="15"/>
      <c r="D40" s="15" t="s">
        <v>63</v>
      </c>
      <c r="E40" s="15">
        <v>885</v>
      </c>
      <c r="F40" s="14"/>
      <c r="G40" s="15">
        <v>45</v>
      </c>
      <c r="H40" s="15"/>
      <c r="I40" s="15"/>
      <c r="J40" s="15"/>
      <c r="K40" s="15"/>
      <c r="L40" s="15"/>
      <c r="M40" s="15"/>
      <c r="N40" s="15"/>
      <c r="O40" s="15"/>
      <c r="P40" s="15"/>
      <c r="Q40" s="16"/>
      <c r="R40" s="16"/>
      <c r="S40" s="16"/>
      <c r="T40" s="16"/>
      <c r="U40" s="27"/>
      <c r="V40" s="28">
        <f t="shared" ref="V40:V103" si="0">SUM(F40:K40)</f>
        <v>45</v>
      </c>
      <c r="W40" s="29" t="s">
        <v>64</v>
      </c>
    </row>
    <row r="41" spans="2:23">
      <c r="B41" s="17"/>
      <c r="C41" s="15"/>
      <c r="D41" s="15" t="s">
        <v>63</v>
      </c>
      <c r="E41" s="15">
        <v>885</v>
      </c>
      <c r="F41" s="14"/>
      <c r="G41" s="18">
        <v>42</v>
      </c>
      <c r="H41" s="18">
        <v>3</v>
      </c>
      <c r="I41" s="18"/>
      <c r="J41" s="18"/>
      <c r="K41" s="18"/>
      <c r="L41" s="18"/>
      <c r="M41" s="18"/>
      <c r="N41" s="18"/>
      <c r="O41" s="18"/>
      <c r="P41" s="18"/>
      <c r="Q41" s="19"/>
      <c r="R41" s="19"/>
      <c r="S41" s="19"/>
      <c r="T41" s="19"/>
      <c r="U41" s="8"/>
      <c r="V41" s="28">
        <f t="shared" si="0"/>
        <v>45</v>
      </c>
      <c r="W41" s="29" t="s">
        <v>64</v>
      </c>
    </row>
    <row r="42" spans="2:23">
      <c r="B42" s="17"/>
      <c r="C42" s="15"/>
      <c r="D42" s="15" t="s">
        <v>63</v>
      </c>
      <c r="E42" s="15">
        <v>885</v>
      </c>
      <c r="F42" s="14"/>
      <c r="G42" s="18"/>
      <c r="H42" s="18">
        <v>45</v>
      </c>
      <c r="I42" s="18"/>
      <c r="J42" s="18"/>
      <c r="K42" s="18"/>
      <c r="L42" s="18"/>
      <c r="M42" s="18"/>
      <c r="N42" s="18"/>
      <c r="O42" s="18"/>
      <c r="P42" s="18"/>
      <c r="Q42" s="19"/>
      <c r="R42" s="19"/>
      <c r="S42" s="19"/>
      <c r="T42" s="19"/>
      <c r="U42" s="8"/>
      <c r="V42" s="28">
        <f t="shared" si="0"/>
        <v>45</v>
      </c>
      <c r="W42" s="29" t="s">
        <v>64</v>
      </c>
    </row>
    <row r="43" spans="2:23">
      <c r="B43" s="17"/>
      <c r="C43" s="15"/>
      <c r="D43" s="15" t="s">
        <v>63</v>
      </c>
      <c r="E43" s="15">
        <v>885</v>
      </c>
      <c r="F43" s="14"/>
      <c r="G43" s="18"/>
      <c r="H43" s="18">
        <v>45</v>
      </c>
      <c r="I43" s="18"/>
      <c r="J43" s="18"/>
      <c r="K43" s="18"/>
      <c r="L43" s="18"/>
      <c r="M43" s="18"/>
      <c r="N43" s="18"/>
      <c r="O43" s="18"/>
      <c r="P43" s="18"/>
      <c r="Q43" s="19"/>
      <c r="R43" s="19"/>
      <c r="S43" s="19"/>
      <c r="T43" s="19"/>
      <c r="U43" s="8"/>
      <c r="V43" s="28">
        <f t="shared" si="0"/>
        <v>45</v>
      </c>
      <c r="W43" s="29" t="s">
        <v>64</v>
      </c>
    </row>
    <row r="44" spans="2:23">
      <c r="B44" s="17"/>
      <c r="C44" s="15"/>
      <c r="D44" s="15" t="s">
        <v>63</v>
      </c>
      <c r="E44" s="15">
        <v>885</v>
      </c>
      <c r="F44" s="14"/>
      <c r="G44" s="18"/>
      <c r="H44" s="18">
        <v>26</v>
      </c>
      <c r="I44" s="18">
        <v>19</v>
      </c>
      <c r="J44" s="18"/>
      <c r="K44" s="18"/>
      <c r="L44" s="18"/>
      <c r="M44" s="18"/>
      <c r="N44" s="18"/>
      <c r="O44" s="18"/>
      <c r="P44" s="18"/>
      <c r="Q44" s="19"/>
      <c r="R44" s="19"/>
      <c r="S44" s="19"/>
      <c r="T44" s="19"/>
      <c r="U44" s="8"/>
      <c r="V44" s="28">
        <f t="shared" si="0"/>
        <v>45</v>
      </c>
      <c r="W44" s="29" t="s">
        <v>64</v>
      </c>
    </row>
    <row r="45" spans="2:23">
      <c r="B45" s="14"/>
      <c r="C45" s="15"/>
      <c r="D45" s="15" t="s">
        <v>63</v>
      </c>
      <c r="E45" s="15">
        <v>885</v>
      </c>
      <c r="F45" s="17"/>
      <c r="G45" s="15"/>
      <c r="H45" s="15"/>
      <c r="I45" s="15">
        <v>45</v>
      </c>
      <c r="J45" s="15"/>
      <c r="K45" s="15"/>
      <c r="L45" s="18"/>
      <c r="M45" s="18"/>
      <c r="N45" s="18"/>
      <c r="O45" s="18"/>
      <c r="P45" s="18"/>
      <c r="Q45" s="19"/>
      <c r="R45" s="19"/>
      <c r="S45" s="19"/>
      <c r="T45" s="19"/>
      <c r="U45" s="8"/>
      <c r="V45" s="28">
        <f t="shared" si="0"/>
        <v>45</v>
      </c>
      <c r="W45" s="29" t="s">
        <v>64</v>
      </c>
    </row>
    <row r="46" spans="2:23">
      <c r="B46" s="17"/>
      <c r="C46" s="15"/>
      <c r="D46" s="15" t="s">
        <v>63</v>
      </c>
      <c r="E46" s="15">
        <v>885</v>
      </c>
      <c r="F46" s="17"/>
      <c r="G46" s="18"/>
      <c r="H46" s="18"/>
      <c r="I46" s="18">
        <v>27</v>
      </c>
      <c r="J46" s="18">
        <v>18</v>
      </c>
      <c r="K46" s="18"/>
      <c r="L46" s="18"/>
      <c r="M46" s="18"/>
      <c r="N46" s="18"/>
      <c r="O46" s="18"/>
      <c r="P46" s="18"/>
      <c r="Q46" s="19"/>
      <c r="R46" s="19"/>
      <c r="S46" s="19"/>
      <c r="T46" s="19"/>
      <c r="U46" s="8"/>
      <c r="V46" s="28">
        <f t="shared" si="0"/>
        <v>45</v>
      </c>
      <c r="W46" s="29" t="s">
        <v>64</v>
      </c>
    </row>
    <row r="47" spans="2:23">
      <c r="B47" s="17"/>
      <c r="C47" s="15"/>
      <c r="D47" s="15" t="s">
        <v>63</v>
      </c>
      <c r="E47" s="15">
        <v>885</v>
      </c>
      <c r="F47" s="17"/>
      <c r="G47" s="18"/>
      <c r="H47" s="18"/>
      <c r="I47" s="18"/>
      <c r="J47" s="18">
        <v>33</v>
      </c>
      <c r="K47" s="18">
        <v>9</v>
      </c>
      <c r="L47" s="18"/>
      <c r="M47" s="18"/>
      <c r="N47" s="18"/>
      <c r="O47" s="18"/>
      <c r="P47" s="18"/>
      <c r="Q47" s="19"/>
      <c r="R47" s="19"/>
      <c r="S47" s="19"/>
      <c r="T47" s="19"/>
      <c r="U47" s="8"/>
      <c r="V47" s="28">
        <f t="shared" si="0"/>
        <v>42</v>
      </c>
      <c r="W47" s="29" t="s">
        <v>64</v>
      </c>
    </row>
    <row r="48" spans="2:23" hidden="1">
      <c r="B48" s="17"/>
      <c r="C48" s="15"/>
      <c r="D48" s="15" t="s">
        <v>63</v>
      </c>
      <c r="E48" s="15">
        <v>885</v>
      </c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9"/>
      <c r="R48" s="19"/>
      <c r="S48" s="19"/>
      <c r="T48" s="19"/>
      <c r="U48" s="8"/>
      <c r="V48" s="28">
        <f t="shared" si="0"/>
        <v>0</v>
      </c>
      <c r="W48" s="29" t="s">
        <v>64</v>
      </c>
    </row>
    <row r="49" spans="2:23" hidden="1">
      <c r="B49" s="17"/>
      <c r="C49" s="15"/>
      <c r="D49" s="15" t="s">
        <v>63</v>
      </c>
      <c r="E49" s="15">
        <v>885</v>
      </c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9"/>
      <c r="R49" s="19"/>
      <c r="S49" s="19"/>
      <c r="T49" s="19"/>
      <c r="U49" s="8"/>
      <c r="V49" s="28">
        <f t="shared" si="0"/>
        <v>0</v>
      </c>
      <c r="W49" s="29" t="s">
        <v>64</v>
      </c>
    </row>
    <row r="50" spans="2:23" hidden="1">
      <c r="B50" s="14"/>
      <c r="C50" s="15"/>
      <c r="D50" s="15" t="s">
        <v>63</v>
      </c>
      <c r="E50" s="15">
        <v>885</v>
      </c>
      <c r="F50" s="17"/>
      <c r="G50" s="15"/>
      <c r="H50" s="15"/>
      <c r="I50" s="15"/>
      <c r="J50" s="15"/>
      <c r="K50" s="15"/>
      <c r="L50" s="18"/>
      <c r="M50" s="18"/>
      <c r="N50" s="18"/>
      <c r="O50" s="18"/>
      <c r="P50" s="18"/>
      <c r="Q50" s="19"/>
      <c r="R50" s="19"/>
      <c r="S50" s="19"/>
      <c r="T50" s="19"/>
      <c r="U50" s="8"/>
      <c r="V50" s="28">
        <f t="shared" si="0"/>
        <v>0</v>
      </c>
      <c r="W50" s="29" t="s">
        <v>64</v>
      </c>
    </row>
    <row r="51" spans="2:23" hidden="1">
      <c r="B51" s="17"/>
      <c r="C51" s="15"/>
      <c r="D51" s="15" t="s">
        <v>63</v>
      </c>
      <c r="E51" s="15">
        <v>885</v>
      </c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9"/>
      <c r="R51" s="19"/>
      <c r="S51" s="19"/>
      <c r="T51" s="19"/>
      <c r="U51" s="8"/>
      <c r="V51" s="28">
        <f t="shared" si="0"/>
        <v>0</v>
      </c>
      <c r="W51" s="29" t="s">
        <v>64</v>
      </c>
    </row>
    <row r="52" spans="2:23" hidden="1">
      <c r="B52" s="17"/>
      <c r="C52" s="15"/>
      <c r="D52" s="15" t="s">
        <v>65</v>
      </c>
      <c r="E52" s="15">
        <v>900</v>
      </c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  <c r="R52" s="19"/>
      <c r="S52" s="19"/>
      <c r="T52" s="19"/>
      <c r="U52" s="8"/>
      <c r="V52" s="28">
        <f t="shared" si="0"/>
        <v>0</v>
      </c>
      <c r="W52" s="31"/>
    </row>
    <row r="53" spans="2:23" hidden="1">
      <c r="B53" s="17"/>
      <c r="C53" s="15"/>
      <c r="D53" s="15" t="s">
        <v>65</v>
      </c>
      <c r="E53" s="15">
        <v>900</v>
      </c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/>
      <c r="R53" s="19"/>
      <c r="S53" s="19"/>
      <c r="T53" s="19"/>
      <c r="U53" s="8"/>
      <c r="V53" s="28">
        <f t="shared" si="0"/>
        <v>0</v>
      </c>
      <c r="W53" s="31"/>
    </row>
    <row r="54" spans="2:23" hidden="1">
      <c r="B54" s="17"/>
      <c r="C54" s="15"/>
      <c r="D54" s="15" t="s">
        <v>65</v>
      </c>
      <c r="E54" s="15">
        <v>900</v>
      </c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/>
      <c r="R54" s="19"/>
      <c r="S54" s="19"/>
      <c r="T54" s="19"/>
      <c r="U54" s="8"/>
      <c r="V54" s="28">
        <f t="shared" si="0"/>
        <v>0</v>
      </c>
      <c r="W54" s="31"/>
    </row>
    <row r="55" spans="2:23" hidden="1">
      <c r="B55" s="14"/>
      <c r="C55" s="18"/>
      <c r="D55" s="15" t="s">
        <v>65</v>
      </c>
      <c r="E55" s="15">
        <v>900</v>
      </c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9"/>
      <c r="R55" s="19"/>
      <c r="S55" s="19"/>
      <c r="T55" s="19"/>
      <c r="U55" s="8"/>
      <c r="V55" s="28">
        <f t="shared" si="0"/>
        <v>0</v>
      </c>
      <c r="W55" s="31"/>
    </row>
    <row r="56" spans="2:23" hidden="1">
      <c r="B56" s="17"/>
      <c r="C56" s="18"/>
      <c r="D56" s="15" t="s">
        <v>65</v>
      </c>
      <c r="E56" s="15">
        <v>900</v>
      </c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9"/>
      <c r="R56" s="19"/>
      <c r="S56" s="19"/>
      <c r="T56" s="19"/>
      <c r="U56" s="8"/>
      <c r="V56" s="28">
        <f t="shared" si="0"/>
        <v>0</v>
      </c>
      <c r="W56" s="31"/>
    </row>
    <row r="57" spans="2:23" hidden="1">
      <c r="B57" s="17"/>
      <c r="C57" s="18"/>
      <c r="D57" s="15" t="s">
        <v>65</v>
      </c>
      <c r="E57" s="15">
        <v>900</v>
      </c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9"/>
      <c r="R57" s="19"/>
      <c r="S57" s="19"/>
      <c r="T57" s="19"/>
      <c r="U57" s="8"/>
      <c r="V57" s="28">
        <f t="shared" si="0"/>
        <v>0</v>
      </c>
      <c r="W57" s="31"/>
    </row>
    <row r="58" spans="2:23" hidden="1">
      <c r="B58" s="17"/>
      <c r="C58" s="18"/>
      <c r="D58" s="15" t="s">
        <v>65</v>
      </c>
      <c r="E58" s="15">
        <v>900</v>
      </c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9"/>
      <c r="R58" s="19"/>
      <c r="S58" s="19"/>
      <c r="T58" s="19"/>
      <c r="U58" s="8"/>
      <c r="V58" s="28">
        <f t="shared" si="0"/>
        <v>0</v>
      </c>
      <c r="W58" s="31"/>
    </row>
    <row r="59" spans="2:23" hidden="1">
      <c r="B59" s="17"/>
      <c r="C59" s="18"/>
      <c r="D59" s="15" t="s">
        <v>65</v>
      </c>
      <c r="E59" s="15">
        <v>900</v>
      </c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9"/>
      <c r="R59" s="19"/>
      <c r="S59" s="19"/>
      <c r="T59" s="19"/>
      <c r="U59" s="8"/>
      <c r="V59" s="28">
        <f t="shared" si="0"/>
        <v>0</v>
      </c>
      <c r="W59" s="31"/>
    </row>
    <row r="60" spans="2:23" hidden="1">
      <c r="B60" s="14"/>
      <c r="C60" s="18"/>
      <c r="D60" s="15" t="s">
        <v>65</v>
      </c>
      <c r="E60" s="15">
        <v>900</v>
      </c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9"/>
      <c r="R60" s="19"/>
      <c r="S60" s="19"/>
      <c r="T60" s="19"/>
      <c r="U60" s="8"/>
      <c r="V60" s="28">
        <f t="shared" si="0"/>
        <v>0</v>
      </c>
      <c r="W60" s="31"/>
    </row>
    <row r="61" spans="2:23" hidden="1">
      <c r="B61" s="17"/>
      <c r="C61" s="18"/>
      <c r="D61" s="15" t="s">
        <v>65</v>
      </c>
      <c r="E61" s="15">
        <v>900</v>
      </c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  <c r="R61" s="19"/>
      <c r="S61" s="19"/>
      <c r="T61" s="19"/>
      <c r="U61" s="8"/>
      <c r="V61" s="28">
        <f t="shared" si="0"/>
        <v>0</v>
      </c>
      <c r="W61" s="31"/>
    </row>
    <row r="62" spans="2:23" hidden="1">
      <c r="B62" s="17"/>
      <c r="C62" s="18"/>
      <c r="D62" s="15" t="s">
        <v>65</v>
      </c>
      <c r="E62" s="15">
        <v>900</v>
      </c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9"/>
      <c r="R62" s="19"/>
      <c r="S62" s="19"/>
      <c r="T62" s="19"/>
      <c r="U62" s="8"/>
      <c r="V62" s="28">
        <f t="shared" si="0"/>
        <v>0</v>
      </c>
      <c r="W62" s="31"/>
    </row>
    <row r="63" spans="2:23" hidden="1">
      <c r="B63" s="17"/>
      <c r="C63" s="18"/>
      <c r="D63" s="15" t="s">
        <v>65</v>
      </c>
      <c r="E63" s="15">
        <v>900</v>
      </c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9"/>
      <c r="R63" s="19"/>
      <c r="S63" s="19"/>
      <c r="T63" s="19"/>
      <c r="U63" s="8"/>
      <c r="V63" s="28">
        <f t="shared" si="0"/>
        <v>0</v>
      </c>
      <c r="W63" s="31"/>
    </row>
    <row r="64" spans="2:23" hidden="1">
      <c r="B64" s="17"/>
      <c r="C64" s="18"/>
      <c r="D64" s="15" t="s">
        <v>65</v>
      </c>
      <c r="E64" s="15">
        <v>900</v>
      </c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9"/>
      <c r="R64" s="19"/>
      <c r="S64" s="19"/>
      <c r="T64" s="19"/>
      <c r="U64" s="8"/>
      <c r="V64" s="28">
        <f t="shared" si="0"/>
        <v>0</v>
      </c>
      <c r="W64" s="31"/>
    </row>
    <row r="65" spans="2:23" hidden="1">
      <c r="B65" s="14"/>
      <c r="C65" s="18"/>
      <c r="D65" s="15" t="s">
        <v>65</v>
      </c>
      <c r="E65" s="15">
        <v>900</v>
      </c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9"/>
      <c r="R65" s="19"/>
      <c r="S65" s="19"/>
      <c r="T65" s="19"/>
      <c r="U65" s="8"/>
      <c r="V65" s="28">
        <f t="shared" si="0"/>
        <v>0</v>
      </c>
      <c r="W65" s="31"/>
    </row>
    <row r="66" spans="2:23" hidden="1">
      <c r="B66" s="17"/>
      <c r="C66" s="18"/>
      <c r="D66" s="15" t="s">
        <v>65</v>
      </c>
      <c r="E66" s="15">
        <v>900</v>
      </c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9"/>
      <c r="R66" s="19"/>
      <c r="S66" s="19"/>
      <c r="T66" s="19"/>
      <c r="U66" s="8"/>
      <c r="V66" s="28">
        <f t="shared" si="0"/>
        <v>0</v>
      </c>
      <c r="W66" s="31"/>
    </row>
    <row r="67" spans="2:23" hidden="1">
      <c r="B67" s="17"/>
      <c r="C67" s="18"/>
      <c r="D67" s="15" t="s">
        <v>65</v>
      </c>
      <c r="E67" s="15">
        <v>900</v>
      </c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9"/>
      <c r="R67" s="19"/>
      <c r="S67" s="19"/>
      <c r="T67" s="19"/>
      <c r="U67" s="8"/>
      <c r="V67" s="28">
        <f t="shared" si="0"/>
        <v>0</v>
      </c>
      <c r="W67" s="31"/>
    </row>
    <row r="68" spans="2:23" hidden="1">
      <c r="B68" s="17"/>
      <c r="C68" s="18"/>
      <c r="D68" s="15" t="s">
        <v>65</v>
      </c>
      <c r="E68" s="15">
        <v>900</v>
      </c>
      <c r="F68" s="1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  <c r="R68" s="19"/>
      <c r="S68" s="19"/>
      <c r="T68" s="19"/>
      <c r="U68" s="8"/>
      <c r="V68" s="28">
        <f t="shared" si="0"/>
        <v>0</v>
      </c>
      <c r="W68" s="31"/>
    </row>
    <row r="69" spans="2:23" hidden="1">
      <c r="B69" s="17"/>
      <c r="C69" s="18"/>
      <c r="D69" s="15" t="s">
        <v>65</v>
      </c>
      <c r="E69" s="15">
        <v>900</v>
      </c>
      <c r="F69" s="1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  <c r="R69" s="19"/>
      <c r="S69" s="19"/>
      <c r="T69" s="19"/>
      <c r="U69" s="8"/>
      <c r="V69" s="28">
        <f t="shared" si="0"/>
        <v>0</v>
      </c>
      <c r="W69" s="31"/>
    </row>
    <row r="70" spans="2:23" hidden="1">
      <c r="B70" s="14"/>
      <c r="C70" s="18"/>
      <c r="D70" s="15" t="s">
        <v>65</v>
      </c>
      <c r="E70" s="15">
        <v>900</v>
      </c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  <c r="R70" s="19"/>
      <c r="S70" s="19"/>
      <c r="T70" s="19"/>
      <c r="U70" s="8"/>
      <c r="V70" s="28">
        <f t="shared" si="0"/>
        <v>0</v>
      </c>
      <c r="W70" s="31"/>
    </row>
    <row r="71" spans="2:23" hidden="1">
      <c r="B71" s="17"/>
      <c r="C71" s="18"/>
      <c r="D71" s="15" t="s">
        <v>65</v>
      </c>
      <c r="E71" s="15">
        <v>900</v>
      </c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  <c r="R71" s="19"/>
      <c r="S71" s="19"/>
      <c r="T71" s="19"/>
      <c r="U71" s="8"/>
      <c r="V71" s="28">
        <f t="shared" si="0"/>
        <v>0</v>
      </c>
      <c r="W71" s="31"/>
    </row>
    <row r="72" spans="2:23" hidden="1">
      <c r="B72" s="17"/>
      <c r="C72" s="18"/>
      <c r="D72" s="15" t="s">
        <v>65</v>
      </c>
      <c r="E72" s="15">
        <v>900</v>
      </c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  <c r="R72" s="19"/>
      <c r="S72" s="19"/>
      <c r="T72" s="19"/>
      <c r="U72" s="8"/>
      <c r="V72" s="28">
        <f t="shared" si="0"/>
        <v>0</v>
      </c>
      <c r="W72" s="31"/>
    </row>
    <row r="73" spans="2:23" hidden="1">
      <c r="B73" s="17"/>
      <c r="C73" s="18"/>
      <c r="D73" s="15" t="s">
        <v>65</v>
      </c>
      <c r="E73" s="15">
        <v>900</v>
      </c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9"/>
      <c r="R73" s="19"/>
      <c r="S73" s="19"/>
      <c r="T73" s="19"/>
      <c r="U73" s="8"/>
      <c r="V73" s="28">
        <f t="shared" si="0"/>
        <v>0</v>
      </c>
      <c r="W73" s="31"/>
    </row>
    <row r="74" spans="2:23" hidden="1">
      <c r="B74" s="17"/>
      <c r="C74" s="18"/>
      <c r="D74" s="15" t="s">
        <v>65</v>
      </c>
      <c r="E74" s="15">
        <v>900</v>
      </c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9"/>
      <c r="R74" s="19"/>
      <c r="S74" s="19"/>
      <c r="T74" s="19"/>
      <c r="U74" s="8"/>
      <c r="V74" s="28">
        <f t="shared" si="0"/>
        <v>0</v>
      </c>
      <c r="W74" s="31"/>
    </row>
    <row r="75" spans="2:23" hidden="1">
      <c r="B75" s="14"/>
      <c r="C75" s="18"/>
      <c r="D75" s="15" t="s">
        <v>65</v>
      </c>
      <c r="E75" s="15">
        <v>900</v>
      </c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9"/>
      <c r="R75" s="19"/>
      <c r="S75" s="19"/>
      <c r="T75" s="19"/>
      <c r="U75" s="8"/>
      <c r="V75" s="28">
        <f t="shared" si="0"/>
        <v>0</v>
      </c>
      <c r="W75" s="31"/>
    </row>
    <row r="76" spans="2:23" hidden="1">
      <c r="B76" s="17"/>
      <c r="C76" s="18"/>
      <c r="D76" s="15" t="s">
        <v>65</v>
      </c>
      <c r="E76" s="15">
        <v>900</v>
      </c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  <c r="R76" s="19"/>
      <c r="S76" s="19"/>
      <c r="T76" s="19"/>
      <c r="U76" s="8"/>
      <c r="V76" s="28">
        <f t="shared" si="0"/>
        <v>0</v>
      </c>
      <c r="W76" s="31"/>
    </row>
    <row r="77" spans="2:23" hidden="1">
      <c r="B77" s="17"/>
      <c r="C77" s="18"/>
      <c r="D77" s="15" t="s">
        <v>65</v>
      </c>
      <c r="E77" s="15">
        <v>900</v>
      </c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9"/>
      <c r="R77" s="19"/>
      <c r="S77" s="19"/>
      <c r="T77" s="19"/>
      <c r="U77" s="8"/>
      <c r="V77" s="28">
        <f t="shared" si="0"/>
        <v>0</v>
      </c>
      <c r="W77" s="31"/>
    </row>
    <row r="78" spans="2:23" hidden="1">
      <c r="B78" s="17"/>
      <c r="C78" s="18"/>
      <c r="D78" s="15" t="s">
        <v>65</v>
      </c>
      <c r="E78" s="15">
        <v>900</v>
      </c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  <c r="R78" s="19"/>
      <c r="S78" s="19"/>
      <c r="T78" s="19"/>
      <c r="U78" s="8"/>
      <c r="V78" s="28">
        <f t="shared" si="0"/>
        <v>0</v>
      </c>
      <c r="W78" s="31"/>
    </row>
    <row r="79" spans="2:23" hidden="1">
      <c r="B79" s="17"/>
      <c r="C79" s="18"/>
      <c r="D79" s="15" t="s">
        <v>65</v>
      </c>
      <c r="E79" s="15">
        <v>900</v>
      </c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9"/>
      <c r="R79" s="19"/>
      <c r="S79" s="19"/>
      <c r="T79" s="19"/>
      <c r="U79" s="8"/>
      <c r="V79" s="28">
        <f t="shared" si="0"/>
        <v>0</v>
      </c>
      <c r="W79" s="31"/>
    </row>
    <row r="80" spans="2:23" hidden="1">
      <c r="B80" s="14"/>
      <c r="C80" s="18"/>
      <c r="D80" s="15" t="s">
        <v>65</v>
      </c>
      <c r="E80" s="15">
        <v>900</v>
      </c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  <c r="R80" s="19"/>
      <c r="S80" s="19"/>
      <c r="T80" s="19"/>
      <c r="U80" s="8"/>
      <c r="V80" s="28">
        <f t="shared" si="0"/>
        <v>0</v>
      </c>
      <c r="W80" s="31"/>
    </row>
    <row r="81" spans="2:23" hidden="1">
      <c r="B81" s="17"/>
      <c r="C81" s="18"/>
      <c r="D81" s="15" t="s">
        <v>65</v>
      </c>
      <c r="E81" s="15">
        <v>900</v>
      </c>
      <c r="F81" s="1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9"/>
      <c r="R81" s="19"/>
      <c r="S81" s="19"/>
      <c r="T81" s="19"/>
      <c r="U81" s="8"/>
      <c r="V81" s="28">
        <f t="shared" si="0"/>
        <v>0</v>
      </c>
      <c r="W81" s="31"/>
    </row>
    <row r="82" spans="2:23" hidden="1">
      <c r="B82" s="17"/>
      <c r="C82" s="18"/>
      <c r="D82" s="15" t="s">
        <v>65</v>
      </c>
      <c r="E82" s="15">
        <v>900</v>
      </c>
      <c r="F82" s="1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9"/>
      <c r="R82" s="19"/>
      <c r="S82" s="19"/>
      <c r="T82" s="19"/>
      <c r="U82" s="8"/>
      <c r="V82" s="28">
        <f t="shared" si="0"/>
        <v>0</v>
      </c>
      <c r="W82" s="31"/>
    </row>
    <row r="83" spans="2:23" hidden="1">
      <c r="B83" s="17"/>
      <c r="C83" s="18"/>
      <c r="D83" s="15" t="s">
        <v>65</v>
      </c>
      <c r="E83" s="15">
        <v>900</v>
      </c>
      <c r="F83" s="1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/>
      <c r="R83" s="19"/>
      <c r="S83" s="19"/>
      <c r="T83" s="19"/>
      <c r="U83" s="8"/>
      <c r="V83" s="28">
        <f t="shared" si="0"/>
        <v>0</v>
      </c>
      <c r="W83" s="31"/>
    </row>
    <row r="84" spans="2:23" hidden="1">
      <c r="B84" s="17"/>
      <c r="C84" s="18"/>
      <c r="D84" s="15" t="s">
        <v>65</v>
      </c>
      <c r="E84" s="15">
        <v>900</v>
      </c>
      <c r="F84" s="1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9"/>
      <c r="R84" s="19"/>
      <c r="S84" s="19"/>
      <c r="T84" s="19"/>
      <c r="U84" s="8"/>
      <c r="V84" s="28">
        <f t="shared" si="0"/>
        <v>0</v>
      </c>
      <c r="W84" s="31"/>
    </row>
    <row r="85" spans="2:23" hidden="1">
      <c r="B85" s="14"/>
      <c r="C85" s="18"/>
      <c r="D85" s="15" t="s">
        <v>65</v>
      </c>
      <c r="E85" s="15">
        <v>900</v>
      </c>
      <c r="F85" s="1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9"/>
      <c r="R85" s="19"/>
      <c r="S85" s="19"/>
      <c r="T85" s="19"/>
      <c r="U85" s="8"/>
      <c r="V85" s="28">
        <f t="shared" si="0"/>
        <v>0</v>
      </c>
      <c r="W85" s="31"/>
    </row>
    <row r="86" spans="2:23" hidden="1">
      <c r="B86" s="17"/>
      <c r="C86" s="18"/>
      <c r="D86" s="15" t="s">
        <v>65</v>
      </c>
      <c r="E86" s="15">
        <v>900</v>
      </c>
      <c r="F86" s="1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9"/>
      <c r="R86" s="19"/>
      <c r="S86" s="19"/>
      <c r="T86" s="19"/>
      <c r="U86" s="8"/>
      <c r="V86" s="28">
        <f t="shared" si="0"/>
        <v>0</v>
      </c>
      <c r="W86" s="31"/>
    </row>
    <row r="87" spans="2:23" hidden="1">
      <c r="B87" s="17"/>
      <c r="C87" s="18"/>
      <c r="D87" s="15" t="s">
        <v>65</v>
      </c>
      <c r="E87" s="15">
        <v>900</v>
      </c>
      <c r="F87" s="1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9"/>
      <c r="R87" s="19"/>
      <c r="S87" s="19"/>
      <c r="T87" s="19"/>
      <c r="U87" s="8"/>
      <c r="V87" s="28">
        <f t="shared" si="0"/>
        <v>0</v>
      </c>
      <c r="W87" s="31"/>
    </row>
    <row r="88" spans="2:23" hidden="1">
      <c r="B88" s="17"/>
      <c r="C88" s="18"/>
      <c r="D88" s="15" t="s">
        <v>65</v>
      </c>
      <c r="E88" s="15">
        <v>900</v>
      </c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9"/>
      <c r="R88" s="19"/>
      <c r="S88" s="19"/>
      <c r="T88" s="19"/>
      <c r="U88" s="8"/>
      <c r="V88" s="28">
        <f t="shared" si="0"/>
        <v>0</v>
      </c>
      <c r="W88" s="31"/>
    </row>
    <row r="89" spans="2:23" hidden="1">
      <c r="B89" s="17"/>
      <c r="C89" s="18"/>
      <c r="D89" s="15" t="s">
        <v>65</v>
      </c>
      <c r="E89" s="15">
        <v>900</v>
      </c>
      <c r="F89" s="1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  <c r="R89" s="19"/>
      <c r="S89" s="19"/>
      <c r="T89" s="19"/>
      <c r="U89" s="8"/>
      <c r="V89" s="28">
        <f t="shared" si="0"/>
        <v>0</v>
      </c>
      <c r="W89" s="31"/>
    </row>
    <row r="90" spans="2:23" hidden="1">
      <c r="B90" s="14"/>
      <c r="C90" s="18"/>
      <c r="D90" s="15" t="s">
        <v>65</v>
      </c>
      <c r="E90" s="15">
        <v>900</v>
      </c>
      <c r="F90" s="1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9"/>
      <c r="R90" s="19"/>
      <c r="S90" s="19"/>
      <c r="T90" s="19"/>
      <c r="U90" s="8"/>
      <c r="V90" s="28">
        <f t="shared" si="0"/>
        <v>0</v>
      </c>
      <c r="W90" s="31"/>
    </row>
    <row r="91" spans="2:23" hidden="1">
      <c r="B91" s="17"/>
      <c r="C91" s="18"/>
      <c r="D91" s="15" t="s">
        <v>65</v>
      </c>
      <c r="E91" s="15">
        <v>900</v>
      </c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  <c r="R91" s="19"/>
      <c r="S91" s="19"/>
      <c r="T91" s="19"/>
      <c r="U91" s="8"/>
      <c r="V91" s="28">
        <f t="shared" si="0"/>
        <v>0</v>
      </c>
      <c r="W91" s="31"/>
    </row>
    <row r="92" spans="2:23" hidden="1">
      <c r="B92" s="17"/>
      <c r="C92" s="18"/>
      <c r="D92" s="15" t="s">
        <v>65</v>
      </c>
      <c r="E92" s="15">
        <v>900</v>
      </c>
      <c r="F92" s="1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9"/>
      <c r="R92" s="19"/>
      <c r="S92" s="19"/>
      <c r="T92" s="19"/>
      <c r="U92" s="8"/>
      <c r="V92" s="28">
        <f t="shared" si="0"/>
        <v>0</v>
      </c>
      <c r="W92" s="31"/>
    </row>
    <row r="93" spans="2:23" hidden="1">
      <c r="B93" s="17"/>
      <c r="C93" s="18"/>
      <c r="D93" s="15" t="s">
        <v>65</v>
      </c>
      <c r="E93" s="15">
        <v>900</v>
      </c>
      <c r="F93" s="1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9"/>
      <c r="R93" s="19"/>
      <c r="S93" s="19"/>
      <c r="T93" s="19"/>
      <c r="U93" s="8"/>
      <c r="V93" s="28">
        <f t="shared" si="0"/>
        <v>0</v>
      </c>
      <c r="W93" s="31"/>
    </row>
    <row r="94" spans="2:23" hidden="1">
      <c r="B94" s="17"/>
      <c r="C94" s="18"/>
      <c r="D94" s="15" t="s">
        <v>65</v>
      </c>
      <c r="E94" s="15">
        <v>900</v>
      </c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9"/>
      <c r="R94" s="19"/>
      <c r="S94" s="19"/>
      <c r="T94" s="19"/>
      <c r="U94" s="8"/>
      <c r="V94" s="28">
        <f t="shared" si="0"/>
        <v>0</v>
      </c>
      <c r="W94" s="31"/>
    </row>
    <row r="95" spans="2:23" hidden="1">
      <c r="B95" s="14"/>
      <c r="C95" s="18"/>
      <c r="D95" s="15" t="s">
        <v>65</v>
      </c>
      <c r="E95" s="15">
        <v>900</v>
      </c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9"/>
      <c r="R95" s="19"/>
      <c r="S95" s="19"/>
      <c r="T95" s="19"/>
      <c r="U95" s="8"/>
      <c r="V95" s="28">
        <f t="shared" si="0"/>
        <v>0</v>
      </c>
      <c r="W95" s="31"/>
    </row>
    <row r="96" spans="2:23" hidden="1">
      <c r="B96" s="17"/>
      <c r="C96" s="18"/>
      <c r="D96" s="15" t="s">
        <v>65</v>
      </c>
      <c r="E96" s="15">
        <v>900</v>
      </c>
      <c r="F96" s="1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9"/>
      <c r="R96" s="19"/>
      <c r="S96" s="19"/>
      <c r="T96" s="19"/>
      <c r="U96" s="8"/>
      <c r="V96" s="28">
        <f t="shared" si="0"/>
        <v>0</v>
      </c>
      <c r="W96" s="31"/>
    </row>
    <row r="97" spans="2:23" hidden="1">
      <c r="B97" s="17"/>
      <c r="C97" s="18"/>
      <c r="D97" s="15" t="s">
        <v>65</v>
      </c>
      <c r="E97" s="15">
        <v>900</v>
      </c>
      <c r="F97" s="1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9"/>
      <c r="R97" s="19"/>
      <c r="S97" s="19"/>
      <c r="T97" s="19"/>
      <c r="U97" s="8"/>
      <c r="V97" s="28">
        <f t="shared" si="0"/>
        <v>0</v>
      </c>
      <c r="W97" s="31"/>
    </row>
    <row r="98" spans="2:23" hidden="1">
      <c r="B98" s="17"/>
      <c r="C98" s="18"/>
      <c r="D98" s="15" t="s">
        <v>65</v>
      </c>
      <c r="E98" s="15">
        <v>900</v>
      </c>
      <c r="F98" s="1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9"/>
      <c r="R98" s="19"/>
      <c r="S98" s="19"/>
      <c r="T98" s="19"/>
      <c r="U98" s="8"/>
      <c r="V98" s="28">
        <f t="shared" si="0"/>
        <v>0</v>
      </c>
      <c r="W98" s="31"/>
    </row>
    <row r="99" spans="2:23" hidden="1">
      <c r="B99" s="17"/>
      <c r="C99" s="18"/>
      <c r="D99" s="15" t="s">
        <v>65</v>
      </c>
      <c r="E99" s="15">
        <v>900</v>
      </c>
      <c r="F99" s="1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9"/>
      <c r="R99" s="19"/>
      <c r="S99" s="19"/>
      <c r="T99" s="19"/>
      <c r="U99" s="8"/>
      <c r="V99" s="28">
        <f t="shared" si="0"/>
        <v>0</v>
      </c>
      <c r="W99" s="31"/>
    </row>
    <row r="100" spans="2:23" hidden="1">
      <c r="B100" s="14"/>
      <c r="C100" s="18"/>
      <c r="D100" s="15" t="s">
        <v>65</v>
      </c>
      <c r="E100" s="15">
        <v>900</v>
      </c>
      <c r="F100" s="1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9"/>
      <c r="R100" s="19"/>
      <c r="S100" s="19"/>
      <c r="T100" s="19"/>
      <c r="U100" s="8"/>
      <c r="V100" s="28">
        <f t="shared" si="0"/>
        <v>0</v>
      </c>
      <c r="W100" s="31"/>
    </row>
    <row r="101" spans="2:23" hidden="1">
      <c r="B101" s="17"/>
      <c r="C101" s="18"/>
      <c r="D101" s="15" t="s">
        <v>65</v>
      </c>
      <c r="E101" s="15">
        <v>900</v>
      </c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  <c r="R101" s="19"/>
      <c r="S101" s="19"/>
      <c r="T101" s="19"/>
      <c r="U101" s="8"/>
      <c r="V101" s="28">
        <f t="shared" si="0"/>
        <v>0</v>
      </c>
      <c r="W101" s="31"/>
    </row>
    <row r="102" spans="2:23" hidden="1">
      <c r="B102" s="17"/>
      <c r="C102" s="18"/>
      <c r="D102" s="15" t="s">
        <v>65</v>
      </c>
      <c r="E102" s="15">
        <v>900</v>
      </c>
      <c r="F102" s="1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9"/>
      <c r="R102" s="19"/>
      <c r="S102" s="19"/>
      <c r="T102" s="19"/>
      <c r="U102" s="8"/>
      <c r="V102" s="28">
        <f t="shared" si="0"/>
        <v>0</v>
      </c>
      <c r="W102" s="31"/>
    </row>
    <row r="103" spans="2:23" hidden="1">
      <c r="B103" s="17"/>
      <c r="C103" s="18"/>
      <c r="D103" s="15" t="s">
        <v>65</v>
      </c>
      <c r="E103" s="15">
        <v>900</v>
      </c>
      <c r="F103" s="1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9"/>
      <c r="R103" s="19"/>
      <c r="S103" s="19"/>
      <c r="T103" s="19"/>
      <c r="U103" s="8"/>
      <c r="V103" s="28">
        <f t="shared" si="0"/>
        <v>0</v>
      </c>
      <c r="W103" s="31"/>
    </row>
    <row r="104" spans="2:23" hidden="1">
      <c r="B104" s="17"/>
      <c r="C104" s="18"/>
      <c r="D104" s="15" t="s">
        <v>65</v>
      </c>
      <c r="E104" s="15">
        <v>900</v>
      </c>
      <c r="F104" s="1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/>
      <c r="R104" s="19"/>
      <c r="S104" s="19"/>
      <c r="T104" s="19"/>
      <c r="U104" s="8"/>
      <c r="V104" s="28">
        <f t="shared" ref="V104:V139" si="1">SUM(F104:K104)</f>
        <v>0</v>
      </c>
      <c r="W104" s="31"/>
    </row>
    <row r="105" spans="2:23" hidden="1">
      <c r="B105" s="14"/>
      <c r="C105" s="18"/>
      <c r="D105" s="15" t="s">
        <v>65</v>
      </c>
      <c r="E105" s="15">
        <v>900</v>
      </c>
      <c r="F105" s="1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9"/>
      <c r="R105" s="19"/>
      <c r="S105" s="19"/>
      <c r="T105" s="19"/>
      <c r="U105" s="8"/>
      <c r="V105" s="28">
        <f t="shared" si="1"/>
        <v>0</v>
      </c>
      <c r="W105" s="31"/>
    </row>
    <row r="106" spans="2:23" hidden="1">
      <c r="B106" s="17"/>
      <c r="C106" s="18"/>
      <c r="D106" s="15" t="s">
        <v>65</v>
      </c>
      <c r="E106" s="15">
        <v>900</v>
      </c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  <c r="R106" s="19"/>
      <c r="S106" s="19"/>
      <c r="T106" s="19"/>
      <c r="U106" s="8"/>
      <c r="V106" s="28">
        <f t="shared" si="1"/>
        <v>0</v>
      </c>
      <c r="W106" s="31"/>
    </row>
    <row r="107" spans="2:23" hidden="1">
      <c r="B107" s="17"/>
      <c r="C107" s="18"/>
      <c r="D107" s="15" t="s">
        <v>65</v>
      </c>
      <c r="E107" s="15">
        <v>900</v>
      </c>
      <c r="F107" s="1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/>
      <c r="R107" s="19"/>
      <c r="S107" s="19"/>
      <c r="T107" s="19"/>
      <c r="U107" s="8"/>
      <c r="V107" s="28">
        <f t="shared" si="1"/>
        <v>0</v>
      </c>
      <c r="W107" s="31"/>
    </row>
    <row r="108" spans="2:23" hidden="1">
      <c r="B108" s="17"/>
      <c r="C108" s="15"/>
      <c r="D108" s="15" t="s">
        <v>65</v>
      </c>
      <c r="E108" s="15">
        <v>900</v>
      </c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  <c r="R108" s="19"/>
      <c r="S108" s="19"/>
      <c r="T108" s="19"/>
      <c r="U108" s="8"/>
      <c r="V108" s="28">
        <f t="shared" si="1"/>
        <v>0</v>
      </c>
      <c r="W108" s="29"/>
    </row>
    <row r="109" spans="2:23" hidden="1">
      <c r="B109" s="17"/>
      <c r="C109" s="18"/>
      <c r="D109" s="15" t="s">
        <v>65</v>
      </c>
      <c r="E109" s="15">
        <v>900</v>
      </c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9"/>
      <c r="R109" s="19"/>
      <c r="S109" s="19"/>
      <c r="T109" s="19"/>
      <c r="U109" s="8"/>
      <c r="V109" s="28">
        <f t="shared" si="1"/>
        <v>0</v>
      </c>
      <c r="W109" s="31"/>
    </row>
    <row r="110" spans="2:23" hidden="1">
      <c r="B110" s="14"/>
      <c r="C110" s="18"/>
      <c r="D110" s="15" t="s">
        <v>65</v>
      </c>
      <c r="E110" s="15">
        <v>900</v>
      </c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  <c r="R110" s="19"/>
      <c r="S110" s="19"/>
      <c r="T110" s="19"/>
      <c r="U110" s="8"/>
      <c r="V110" s="28">
        <f t="shared" si="1"/>
        <v>0</v>
      </c>
      <c r="W110" s="31"/>
    </row>
    <row r="111" spans="2:23" hidden="1">
      <c r="B111" s="17"/>
      <c r="C111" s="18"/>
      <c r="D111" s="15" t="s">
        <v>65</v>
      </c>
      <c r="E111" s="15">
        <v>900</v>
      </c>
      <c r="F111" s="1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9"/>
      <c r="R111" s="19"/>
      <c r="S111" s="19"/>
      <c r="T111" s="19"/>
      <c r="U111" s="8"/>
      <c r="V111" s="28">
        <f t="shared" si="1"/>
        <v>0</v>
      </c>
      <c r="W111" s="31"/>
    </row>
    <row r="112" spans="2:23" hidden="1">
      <c r="B112" s="17"/>
      <c r="C112" s="18"/>
      <c r="D112" s="15" t="s">
        <v>65</v>
      </c>
      <c r="E112" s="15">
        <v>900</v>
      </c>
      <c r="F112" s="1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/>
      <c r="R112" s="19"/>
      <c r="S112" s="19"/>
      <c r="T112" s="19"/>
      <c r="U112" s="8"/>
      <c r="V112" s="28">
        <f t="shared" si="1"/>
        <v>0</v>
      </c>
      <c r="W112" s="31"/>
    </row>
    <row r="113" spans="2:23" hidden="1">
      <c r="B113" s="17"/>
      <c r="C113" s="18"/>
      <c r="D113" s="15" t="s">
        <v>65</v>
      </c>
      <c r="E113" s="15">
        <v>900</v>
      </c>
      <c r="F113" s="1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9"/>
      <c r="R113" s="19"/>
      <c r="S113" s="19"/>
      <c r="T113" s="19"/>
      <c r="U113" s="8"/>
      <c r="V113" s="28">
        <f t="shared" si="1"/>
        <v>0</v>
      </c>
      <c r="W113" s="31"/>
    </row>
    <row r="114" spans="2:23" hidden="1">
      <c r="B114" s="17"/>
      <c r="C114" s="18"/>
      <c r="D114" s="15" t="s">
        <v>65</v>
      </c>
      <c r="E114" s="15">
        <v>900</v>
      </c>
      <c r="F114" s="1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9"/>
      <c r="R114" s="19"/>
      <c r="S114" s="19"/>
      <c r="T114" s="19"/>
      <c r="U114" s="8"/>
      <c r="V114" s="28">
        <f t="shared" si="1"/>
        <v>0</v>
      </c>
      <c r="W114" s="31"/>
    </row>
    <row r="115" spans="2:23" hidden="1">
      <c r="B115" s="14"/>
      <c r="C115" s="18"/>
      <c r="D115" s="15" t="s">
        <v>65</v>
      </c>
      <c r="E115" s="15">
        <v>900</v>
      </c>
      <c r="F115" s="1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  <c r="R115" s="19"/>
      <c r="S115" s="19"/>
      <c r="T115" s="19"/>
      <c r="U115" s="8"/>
      <c r="V115" s="28">
        <f t="shared" si="1"/>
        <v>0</v>
      </c>
      <c r="W115" s="31"/>
    </row>
    <row r="116" spans="2:23" hidden="1">
      <c r="B116" s="17"/>
      <c r="C116" s="18"/>
      <c r="D116" s="15" t="s">
        <v>65</v>
      </c>
      <c r="E116" s="15">
        <v>900</v>
      </c>
      <c r="F116" s="1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9"/>
      <c r="R116" s="19"/>
      <c r="S116" s="19"/>
      <c r="T116" s="19"/>
      <c r="U116" s="8"/>
      <c r="V116" s="28">
        <f t="shared" si="1"/>
        <v>0</v>
      </c>
      <c r="W116" s="31"/>
    </row>
    <row r="117" spans="2:23" hidden="1">
      <c r="B117" s="17"/>
      <c r="C117" s="18"/>
      <c r="D117" s="15" t="s">
        <v>65</v>
      </c>
      <c r="E117" s="15">
        <v>900</v>
      </c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  <c r="R117" s="19"/>
      <c r="S117" s="19"/>
      <c r="T117" s="19"/>
      <c r="U117" s="8"/>
      <c r="V117" s="28">
        <f t="shared" si="1"/>
        <v>0</v>
      </c>
      <c r="W117" s="31"/>
    </row>
    <row r="118" spans="2:23" hidden="1">
      <c r="B118" s="17"/>
      <c r="C118" s="18"/>
      <c r="D118" s="15" t="s">
        <v>65</v>
      </c>
      <c r="E118" s="15">
        <v>900</v>
      </c>
      <c r="F118" s="1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  <c r="R118" s="19"/>
      <c r="S118" s="19"/>
      <c r="T118" s="19"/>
      <c r="U118" s="8"/>
      <c r="V118" s="28">
        <f t="shared" si="1"/>
        <v>0</v>
      </c>
      <c r="W118" s="31"/>
    </row>
    <row r="119" spans="2:23" hidden="1">
      <c r="B119" s="17"/>
      <c r="C119" s="18"/>
      <c r="D119" s="15" t="s">
        <v>65</v>
      </c>
      <c r="E119" s="15">
        <v>900</v>
      </c>
      <c r="F119" s="1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  <c r="R119" s="19"/>
      <c r="S119" s="19"/>
      <c r="T119" s="19"/>
      <c r="U119" s="8"/>
      <c r="V119" s="28">
        <f t="shared" si="1"/>
        <v>0</v>
      </c>
      <c r="W119" s="31"/>
    </row>
    <row r="120" spans="2:23" hidden="1">
      <c r="B120" s="14"/>
      <c r="C120" s="18"/>
      <c r="D120" s="15" t="s">
        <v>65</v>
      </c>
      <c r="E120" s="15">
        <v>900</v>
      </c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9"/>
      <c r="R120" s="19"/>
      <c r="S120" s="19"/>
      <c r="T120" s="19"/>
      <c r="U120" s="8"/>
      <c r="V120" s="28">
        <f t="shared" si="1"/>
        <v>0</v>
      </c>
      <c r="W120" s="31"/>
    </row>
    <row r="121" spans="2:23" hidden="1">
      <c r="B121" s="17"/>
      <c r="C121" s="18"/>
      <c r="D121" s="15" t="s">
        <v>65</v>
      </c>
      <c r="E121" s="15">
        <v>900</v>
      </c>
      <c r="F121" s="1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  <c r="R121" s="19"/>
      <c r="S121" s="19"/>
      <c r="T121" s="19"/>
      <c r="U121" s="8"/>
      <c r="V121" s="28">
        <f t="shared" si="1"/>
        <v>0</v>
      </c>
      <c r="W121" s="31"/>
    </row>
    <row r="122" spans="2:23" hidden="1">
      <c r="B122" s="17"/>
      <c r="C122" s="18"/>
      <c r="D122" s="15" t="s">
        <v>65</v>
      </c>
      <c r="E122" s="15">
        <v>900</v>
      </c>
      <c r="F122" s="1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9"/>
      <c r="R122" s="19"/>
      <c r="S122" s="19"/>
      <c r="T122" s="19"/>
      <c r="U122" s="8"/>
      <c r="V122" s="28">
        <f t="shared" si="1"/>
        <v>0</v>
      </c>
      <c r="W122" s="31"/>
    </row>
    <row r="123" spans="2:23" hidden="1">
      <c r="B123" s="17"/>
      <c r="C123" s="18"/>
      <c r="D123" s="15" t="s">
        <v>65</v>
      </c>
      <c r="E123" s="15">
        <v>900</v>
      </c>
      <c r="F123" s="1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9"/>
      <c r="R123" s="19"/>
      <c r="S123" s="19"/>
      <c r="T123" s="19"/>
      <c r="U123" s="8"/>
      <c r="V123" s="28">
        <f t="shared" si="1"/>
        <v>0</v>
      </c>
      <c r="W123" s="31"/>
    </row>
    <row r="124" spans="2:23" hidden="1">
      <c r="B124" s="17"/>
      <c r="C124" s="18"/>
      <c r="D124" s="15" t="s">
        <v>65</v>
      </c>
      <c r="E124" s="15">
        <v>900</v>
      </c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  <c r="R124" s="19"/>
      <c r="S124" s="19"/>
      <c r="T124" s="19"/>
      <c r="U124" s="8"/>
      <c r="V124" s="28">
        <f t="shared" si="1"/>
        <v>0</v>
      </c>
      <c r="W124" s="31"/>
    </row>
    <row r="125" spans="2:23" hidden="1">
      <c r="B125" s="14"/>
      <c r="C125" s="18"/>
      <c r="D125" s="15" t="s">
        <v>65</v>
      </c>
      <c r="E125" s="15">
        <v>900</v>
      </c>
      <c r="F125" s="1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  <c r="R125" s="19"/>
      <c r="S125" s="19"/>
      <c r="T125" s="19"/>
      <c r="U125" s="8"/>
      <c r="V125" s="28">
        <f t="shared" si="1"/>
        <v>0</v>
      </c>
      <c r="W125" s="31"/>
    </row>
    <row r="126" spans="2:23" hidden="1">
      <c r="B126" s="17"/>
      <c r="C126" s="18"/>
      <c r="D126" s="15" t="s">
        <v>65</v>
      </c>
      <c r="E126" s="15">
        <v>900</v>
      </c>
      <c r="F126" s="1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9"/>
      <c r="R126" s="19"/>
      <c r="S126" s="19"/>
      <c r="T126" s="19"/>
      <c r="U126" s="8"/>
      <c r="V126" s="28">
        <f t="shared" si="1"/>
        <v>0</v>
      </c>
      <c r="W126" s="31"/>
    </row>
    <row r="127" spans="2:23" hidden="1">
      <c r="B127" s="17"/>
      <c r="C127" s="18"/>
      <c r="D127" s="15" t="s">
        <v>65</v>
      </c>
      <c r="E127" s="15">
        <v>900</v>
      </c>
      <c r="F127" s="1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/>
      <c r="R127" s="19"/>
      <c r="S127" s="19"/>
      <c r="T127" s="19"/>
      <c r="U127" s="8"/>
      <c r="V127" s="28">
        <f t="shared" si="1"/>
        <v>0</v>
      </c>
      <c r="W127" s="31"/>
    </row>
    <row r="128" spans="2:23" hidden="1">
      <c r="B128" s="17"/>
      <c r="C128" s="18"/>
      <c r="D128" s="15" t="s">
        <v>65</v>
      </c>
      <c r="E128" s="15">
        <v>900</v>
      </c>
      <c r="F128" s="1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9"/>
      <c r="R128" s="19"/>
      <c r="S128" s="19"/>
      <c r="T128" s="19"/>
      <c r="U128" s="8"/>
      <c r="V128" s="28">
        <f t="shared" si="1"/>
        <v>0</v>
      </c>
      <c r="W128" s="31"/>
    </row>
    <row r="129" spans="2:23" hidden="1">
      <c r="B129" s="17"/>
      <c r="C129" s="18"/>
      <c r="D129" s="15" t="s">
        <v>65</v>
      </c>
      <c r="E129" s="15">
        <v>900</v>
      </c>
      <c r="F129" s="1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9"/>
      <c r="R129" s="19"/>
      <c r="S129" s="19"/>
      <c r="T129" s="19"/>
      <c r="U129" s="8"/>
      <c r="V129" s="28">
        <f t="shared" si="1"/>
        <v>0</v>
      </c>
      <c r="W129" s="31"/>
    </row>
    <row r="130" spans="2:23" hidden="1">
      <c r="B130" s="14"/>
      <c r="C130" s="18"/>
      <c r="D130" s="15" t="s">
        <v>65</v>
      </c>
      <c r="E130" s="15">
        <v>900</v>
      </c>
      <c r="F130" s="1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9"/>
      <c r="R130" s="19"/>
      <c r="S130" s="19"/>
      <c r="T130" s="19"/>
      <c r="U130" s="8"/>
      <c r="V130" s="28">
        <f t="shared" si="1"/>
        <v>0</v>
      </c>
      <c r="W130" s="31"/>
    </row>
    <row r="131" spans="2:23" hidden="1">
      <c r="B131" s="17"/>
      <c r="C131" s="18"/>
      <c r="D131" s="15" t="s">
        <v>65</v>
      </c>
      <c r="E131" s="15">
        <v>900</v>
      </c>
      <c r="F131" s="1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9"/>
      <c r="R131" s="19"/>
      <c r="S131" s="19"/>
      <c r="T131" s="19"/>
      <c r="U131" s="8"/>
      <c r="V131" s="28">
        <f t="shared" si="1"/>
        <v>0</v>
      </c>
      <c r="W131" s="31"/>
    </row>
    <row r="132" spans="2:23" hidden="1">
      <c r="B132" s="17"/>
      <c r="C132" s="18"/>
      <c r="D132" s="15" t="s">
        <v>65</v>
      </c>
      <c r="E132" s="15">
        <v>900</v>
      </c>
      <c r="F132" s="1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9"/>
      <c r="R132" s="19"/>
      <c r="S132" s="19"/>
      <c r="T132" s="19"/>
      <c r="U132" s="8"/>
      <c r="V132" s="28">
        <f t="shared" si="1"/>
        <v>0</v>
      </c>
      <c r="W132" s="31"/>
    </row>
    <row r="133" spans="2:23" hidden="1">
      <c r="B133" s="17"/>
      <c r="C133" s="18"/>
      <c r="D133" s="15" t="s">
        <v>65</v>
      </c>
      <c r="E133" s="15">
        <v>900</v>
      </c>
      <c r="F133" s="1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9"/>
      <c r="R133" s="19"/>
      <c r="S133" s="19"/>
      <c r="T133" s="19"/>
      <c r="U133" s="8"/>
      <c r="V133" s="28">
        <f t="shared" si="1"/>
        <v>0</v>
      </c>
      <c r="W133" s="31"/>
    </row>
    <row r="134" spans="2:23" hidden="1">
      <c r="B134" s="17"/>
      <c r="C134" s="18"/>
      <c r="D134" s="15" t="s">
        <v>65</v>
      </c>
      <c r="E134" s="15">
        <v>900</v>
      </c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  <c r="R134" s="19"/>
      <c r="S134" s="19"/>
      <c r="T134" s="19"/>
      <c r="U134" s="8"/>
      <c r="V134" s="28">
        <f t="shared" si="1"/>
        <v>0</v>
      </c>
      <c r="W134" s="31"/>
    </row>
    <row r="135" spans="2:23" hidden="1">
      <c r="B135" s="14"/>
      <c r="C135" s="18"/>
      <c r="D135" s="15" t="s">
        <v>65</v>
      </c>
      <c r="E135" s="15">
        <v>900</v>
      </c>
      <c r="F135" s="1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9"/>
      <c r="R135" s="19"/>
      <c r="S135" s="19"/>
      <c r="T135" s="19"/>
      <c r="U135" s="8"/>
      <c r="V135" s="28">
        <f t="shared" si="1"/>
        <v>0</v>
      </c>
      <c r="W135" s="31"/>
    </row>
    <row r="136" spans="2:23" hidden="1">
      <c r="B136" s="17"/>
      <c r="C136" s="18"/>
      <c r="D136" s="15" t="s">
        <v>65</v>
      </c>
      <c r="E136" s="15">
        <v>900</v>
      </c>
      <c r="F136" s="1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  <c r="R136" s="19"/>
      <c r="S136" s="19"/>
      <c r="T136" s="19"/>
      <c r="U136" s="8"/>
      <c r="V136" s="28">
        <f t="shared" si="1"/>
        <v>0</v>
      </c>
      <c r="W136" s="31"/>
    </row>
    <row r="137" spans="2:23" hidden="1">
      <c r="B137" s="17"/>
      <c r="C137" s="18"/>
      <c r="D137" s="15" t="s">
        <v>65</v>
      </c>
      <c r="E137" s="15">
        <v>900</v>
      </c>
      <c r="F137" s="1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9"/>
      <c r="R137" s="19"/>
      <c r="S137" s="19"/>
      <c r="T137" s="19"/>
      <c r="U137" s="8"/>
      <c r="V137" s="28">
        <f t="shared" si="1"/>
        <v>0</v>
      </c>
      <c r="W137" s="31"/>
    </row>
    <row r="138" spans="2:23" hidden="1">
      <c r="B138" s="17"/>
      <c r="C138" s="18"/>
      <c r="D138" s="15" t="s">
        <v>65</v>
      </c>
      <c r="E138" s="15">
        <v>900</v>
      </c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9"/>
      <c r="R138" s="19"/>
      <c r="S138" s="19"/>
      <c r="T138" s="19"/>
      <c r="U138" s="8"/>
      <c r="V138" s="28">
        <f t="shared" si="1"/>
        <v>0</v>
      </c>
      <c r="W138" s="31"/>
    </row>
    <row r="139" spans="2:23" ht="17.45" hidden="1" customHeight="1">
      <c r="B139" s="17"/>
      <c r="C139" s="18"/>
      <c r="D139" s="15" t="s">
        <v>65</v>
      </c>
      <c r="E139" s="15">
        <v>900</v>
      </c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9"/>
      <c r="R139" s="19"/>
      <c r="S139" s="19"/>
      <c r="T139" s="19"/>
      <c r="U139" s="8"/>
      <c r="V139" s="28">
        <f t="shared" si="1"/>
        <v>0</v>
      </c>
      <c r="W139" s="31"/>
    </row>
    <row r="140" spans="2:23" ht="15" thickBot="1">
      <c r="F140" s="6"/>
      <c r="G140" s="6"/>
      <c r="H140" s="6"/>
      <c r="I140" s="6"/>
      <c r="J140" s="6"/>
      <c r="K140" s="6"/>
    </row>
    <row r="141" spans="2:23" ht="15" thickBot="1">
      <c r="F141" s="113" t="s">
        <v>31</v>
      </c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5"/>
      <c r="R141" s="115"/>
      <c r="S141" s="115"/>
      <c r="T141" s="115"/>
      <c r="U141" s="116"/>
    </row>
    <row r="142" spans="2:23">
      <c r="F142" s="33" t="s">
        <v>33</v>
      </c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2"/>
    </row>
    <row r="143" spans="2:23">
      <c r="F143" s="17" t="s">
        <v>35</v>
      </c>
      <c r="G143" s="18" t="s">
        <v>36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8"/>
    </row>
    <row r="144" spans="2:23">
      <c r="F144" s="17" t="s">
        <v>38</v>
      </c>
      <c r="G144" s="18" t="s">
        <v>39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8"/>
    </row>
    <row r="145" spans="4:22">
      <c r="F145" s="17">
        <v>2</v>
      </c>
      <c r="G145" s="18">
        <v>3</v>
      </c>
      <c r="H145" s="18">
        <v>4</v>
      </c>
      <c r="I145" s="18">
        <v>6</v>
      </c>
      <c r="J145" s="18">
        <v>8</v>
      </c>
      <c r="K145" s="18">
        <v>10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8"/>
    </row>
    <row r="146" spans="4:22">
      <c r="F146" s="17" t="s">
        <v>42</v>
      </c>
      <c r="G146" s="18" t="s">
        <v>43</v>
      </c>
      <c r="H146" s="18" t="s">
        <v>44</v>
      </c>
      <c r="I146" s="18" t="s">
        <v>45</v>
      </c>
      <c r="J146" s="18" t="s">
        <v>46</v>
      </c>
      <c r="K146" s="18" t="s">
        <v>47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8"/>
    </row>
    <row r="147" spans="4:22">
      <c r="F147" s="58">
        <v>32</v>
      </c>
      <c r="G147" s="59">
        <v>34</v>
      </c>
      <c r="H147" s="59">
        <v>36</v>
      </c>
      <c r="I147" s="59">
        <v>38</v>
      </c>
      <c r="J147" s="59">
        <v>40</v>
      </c>
      <c r="K147" s="59">
        <v>42</v>
      </c>
      <c r="L147" s="59"/>
      <c r="M147" s="59"/>
      <c r="N147" s="59"/>
      <c r="O147" s="59"/>
      <c r="P147" s="59"/>
      <c r="Q147" s="59"/>
      <c r="R147" s="59"/>
      <c r="S147" s="59"/>
      <c r="T147" s="59"/>
      <c r="U147" s="60"/>
    </row>
    <row r="148" spans="4:22" s="81" customFormat="1">
      <c r="F148" s="82">
        <v>44</v>
      </c>
      <c r="G148" s="83">
        <v>46</v>
      </c>
      <c r="H148" s="83">
        <v>48</v>
      </c>
      <c r="I148" s="83">
        <v>50</v>
      </c>
      <c r="J148" s="83">
        <v>52</v>
      </c>
      <c r="K148" s="83">
        <v>54</v>
      </c>
      <c r="L148" s="83"/>
      <c r="M148" s="83"/>
      <c r="N148" s="83"/>
      <c r="O148" s="83"/>
      <c r="P148" s="83"/>
      <c r="Q148" s="83"/>
      <c r="R148" s="83"/>
      <c r="S148" s="83"/>
      <c r="T148" s="83"/>
      <c r="U148" s="85"/>
    </row>
    <row r="149" spans="4:22">
      <c r="F149" s="17">
        <v>35</v>
      </c>
      <c r="G149" s="18">
        <v>36</v>
      </c>
      <c r="H149" s="18">
        <v>37</v>
      </c>
      <c r="I149" s="18">
        <v>38</v>
      </c>
      <c r="J149" s="18">
        <v>39</v>
      </c>
      <c r="K149" s="18">
        <v>40</v>
      </c>
      <c r="L149" s="18">
        <v>41</v>
      </c>
      <c r="M149" s="18">
        <v>42</v>
      </c>
      <c r="N149" s="18">
        <v>43</v>
      </c>
      <c r="O149" s="18">
        <v>44</v>
      </c>
      <c r="P149" s="18">
        <v>45</v>
      </c>
      <c r="Q149" s="18">
        <v>46</v>
      </c>
      <c r="R149" s="18"/>
      <c r="S149" s="18"/>
      <c r="T149" s="18"/>
      <c r="U149" s="52"/>
    </row>
    <row r="150" spans="4:22">
      <c r="F150" s="17">
        <v>24</v>
      </c>
      <c r="G150" s="18">
        <v>25</v>
      </c>
      <c r="H150" s="18">
        <v>26</v>
      </c>
      <c r="I150" s="18">
        <v>27</v>
      </c>
      <c r="J150" s="18">
        <v>28</v>
      </c>
      <c r="K150" s="18">
        <v>29</v>
      </c>
      <c r="L150" s="18">
        <v>30</v>
      </c>
      <c r="M150" s="18">
        <v>31</v>
      </c>
      <c r="N150" s="18">
        <v>32</v>
      </c>
      <c r="O150" s="18">
        <v>33</v>
      </c>
      <c r="P150" s="18">
        <v>34</v>
      </c>
      <c r="Q150" s="18">
        <v>36</v>
      </c>
      <c r="R150" s="18"/>
      <c r="S150" s="18"/>
      <c r="T150" s="18"/>
      <c r="U150" s="52"/>
    </row>
    <row r="151" spans="4:22">
      <c r="F151" s="53">
        <v>111</v>
      </c>
      <c r="G151" s="54">
        <v>112</v>
      </c>
      <c r="H151" s="54">
        <v>113</v>
      </c>
      <c r="I151" s="54">
        <v>114</v>
      </c>
      <c r="J151" s="54">
        <v>115</v>
      </c>
      <c r="K151" s="54">
        <v>116</v>
      </c>
      <c r="L151" s="54">
        <v>117</v>
      </c>
      <c r="M151" s="55">
        <v>121</v>
      </c>
      <c r="N151" s="55">
        <v>122</v>
      </c>
      <c r="O151" s="55">
        <v>123</v>
      </c>
      <c r="P151" s="55">
        <v>124</v>
      </c>
      <c r="Q151" s="55">
        <v>125</v>
      </c>
      <c r="R151" s="55">
        <v>126</v>
      </c>
      <c r="S151" s="55">
        <v>127</v>
      </c>
      <c r="T151" s="22"/>
      <c r="U151" s="56"/>
    </row>
    <row r="152" spans="4:22" ht="15" thickBot="1">
      <c r="F152" s="49">
        <v>140</v>
      </c>
      <c r="G152" s="47">
        <v>141</v>
      </c>
      <c r="H152" s="47">
        <v>142</v>
      </c>
      <c r="I152" s="47">
        <v>143</v>
      </c>
      <c r="J152" s="47">
        <v>144</v>
      </c>
      <c r="K152" s="47">
        <v>145</v>
      </c>
      <c r="L152" s="47">
        <v>146</v>
      </c>
      <c r="M152" s="47">
        <v>147</v>
      </c>
      <c r="N152" s="48">
        <v>148</v>
      </c>
      <c r="O152" s="48">
        <v>149</v>
      </c>
      <c r="P152" s="48">
        <v>150</v>
      </c>
      <c r="Q152" s="48">
        <v>151</v>
      </c>
      <c r="R152" s="48">
        <v>152</v>
      </c>
      <c r="S152" s="48">
        <v>153</v>
      </c>
      <c r="T152" s="48">
        <v>154</v>
      </c>
      <c r="U152" s="51">
        <v>155</v>
      </c>
    </row>
    <row r="153" spans="4:22" ht="15" thickBot="1">
      <c r="D153" s="43" t="s">
        <v>57</v>
      </c>
      <c r="E153" s="44" t="s">
        <v>58</v>
      </c>
      <c r="F153" s="117" t="s">
        <v>59</v>
      </c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9"/>
      <c r="V153" s="45" t="s">
        <v>60</v>
      </c>
    </row>
    <row r="154" spans="4:22">
      <c r="D154" s="14" t="s">
        <v>63</v>
      </c>
      <c r="E154" s="14">
        <v>885</v>
      </c>
      <c r="F154" s="14">
        <v>38</v>
      </c>
      <c r="G154" s="15">
        <v>7</v>
      </c>
      <c r="H154" s="15"/>
      <c r="I154" s="15"/>
      <c r="J154" s="15"/>
      <c r="K154" s="15"/>
      <c r="L154" s="34"/>
      <c r="M154" s="34"/>
      <c r="N154" s="34"/>
      <c r="O154" s="34"/>
      <c r="P154" s="34"/>
      <c r="Q154" s="46"/>
      <c r="R154" s="46"/>
      <c r="S154" s="46"/>
      <c r="T154" s="46"/>
      <c r="U154" s="2"/>
      <c r="V154" s="28">
        <f>SUM(F154:U154)</f>
        <v>45</v>
      </c>
    </row>
    <row r="155" spans="4:22">
      <c r="D155" s="14" t="s">
        <v>63</v>
      </c>
      <c r="E155" s="14">
        <v>885</v>
      </c>
      <c r="F155" s="14"/>
      <c r="G155" s="15">
        <v>45</v>
      </c>
      <c r="H155" s="15"/>
      <c r="I155" s="15"/>
      <c r="J155" s="15"/>
      <c r="K155" s="15"/>
      <c r="L155" s="18"/>
      <c r="M155" s="18"/>
      <c r="N155" s="18"/>
      <c r="O155" s="18"/>
      <c r="P155" s="18"/>
      <c r="Q155" s="19"/>
      <c r="R155" s="19"/>
      <c r="S155" s="19"/>
      <c r="T155" s="19"/>
      <c r="U155" s="8"/>
      <c r="V155" s="28">
        <f t="shared" ref="V155:V163" si="2">SUM(F155:U155)</f>
        <v>45</v>
      </c>
    </row>
    <row r="156" spans="4:22">
      <c r="D156" s="14" t="s">
        <v>63</v>
      </c>
      <c r="E156" s="14">
        <v>885</v>
      </c>
      <c r="F156" s="14"/>
      <c r="G156" s="18">
        <v>42</v>
      </c>
      <c r="H156" s="18">
        <v>3</v>
      </c>
      <c r="I156" s="18"/>
      <c r="J156" s="18"/>
      <c r="K156" s="18"/>
      <c r="L156" s="18"/>
      <c r="M156" s="18"/>
      <c r="N156" s="18"/>
      <c r="O156" s="18"/>
      <c r="P156" s="18"/>
      <c r="Q156" s="19"/>
      <c r="R156" s="19"/>
      <c r="S156" s="19"/>
      <c r="T156" s="19"/>
      <c r="U156" s="8"/>
      <c r="V156" s="28">
        <f t="shared" si="2"/>
        <v>45</v>
      </c>
    </row>
    <row r="157" spans="4:22">
      <c r="D157" s="14" t="s">
        <v>63</v>
      </c>
      <c r="E157" s="14">
        <v>885</v>
      </c>
      <c r="F157" s="14"/>
      <c r="G157" s="18"/>
      <c r="H157" s="18">
        <v>45</v>
      </c>
      <c r="I157" s="18"/>
      <c r="J157" s="18"/>
      <c r="K157" s="18"/>
      <c r="L157" s="18"/>
      <c r="M157" s="18"/>
      <c r="N157" s="18"/>
      <c r="O157" s="18"/>
      <c r="P157" s="18"/>
      <c r="Q157" s="19"/>
      <c r="R157" s="19"/>
      <c r="S157" s="19"/>
      <c r="T157" s="19"/>
      <c r="U157" s="8"/>
      <c r="V157" s="28">
        <f t="shared" si="2"/>
        <v>45</v>
      </c>
    </row>
    <row r="158" spans="4:22">
      <c r="D158" s="14" t="s">
        <v>63</v>
      </c>
      <c r="E158" s="14">
        <v>885</v>
      </c>
      <c r="F158" s="14"/>
      <c r="G158" s="18"/>
      <c r="H158" s="18">
        <v>45</v>
      </c>
      <c r="I158" s="18"/>
      <c r="J158" s="18"/>
      <c r="K158" s="18"/>
      <c r="L158" s="18"/>
      <c r="M158" s="18"/>
      <c r="N158" s="18"/>
      <c r="O158" s="18"/>
      <c r="P158" s="18"/>
      <c r="Q158" s="19"/>
      <c r="R158" s="19"/>
      <c r="S158" s="19"/>
      <c r="T158" s="19"/>
      <c r="U158" s="8"/>
      <c r="V158" s="28">
        <f t="shared" si="2"/>
        <v>45</v>
      </c>
    </row>
    <row r="159" spans="4:22">
      <c r="D159" s="14" t="s">
        <v>63</v>
      </c>
      <c r="E159" s="14">
        <v>885</v>
      </c>
      <c r="F159" s="14"/>
      <c r="G159" s="18"/>
      <c r="H159" s="18">
        <v>26</v>
      </c>
      <c r="I159" s="18">
        <v>19</v>
      </c>
      <c r="J159" s="18"/>
      <c r="K159" s="18"/>
      <c r="L159" s="18"/>
      <c r="M159" s="18"/>
      <c r="N159" s="18"/>
      <c r="O159" s="18"/>
      <c r="P159" s="18"/>
      <c r="Q159" s="19"/>
      <c r="R159" s="19"/>
      <c r="S159" s="19"/>
      <c r="T159" s="19"/>
      <c r="U159" s="8"/>
      <c r="V159" s="28">
        <f t="shared" si="2"/>
        <v>45</v>
      </c>
    </row>
    <row r="160" spans="4:22">
      <c r="D160" s="14" t="s">
        <v>63</v>
      </c>
      <c r="E160" s="14">
        <v>885</v>
      </c>
      <c r="F160" s="17"/>
      <c r="G160" s="15"/>
      <c r="H160" s="15"/>
      <c r="I160" s="15">
        <v>45</v>
      </c>
      <c r="J160" s="15"/>
      <c r="K160" s="15"/>
      <c r="L160" s="18"/>
      <c r="M160" s="18"/>
      <c r="N160" s="18"/>
      <c r="O160" s="18"/>
      <c r="P160" s="18"/>
      <c r="Q160" s="19"/>
      <c r="R160" s="19"/>
      <c r="S160" s="19"/>
      <c r="T160" s="19"/>
      <c r="U160" s="8"/>
      <c r="V160" s="28">
        <f t="shared" si="2"/>
        <v>45</v>
      </c>
    </row>
    <row r="161" spans="4:22">
      <c r="D161" s="14" t="s">
        <v>63</v>
      </c>
      <c r="E161" s="14">
        <v>885</v>
      </c>
      <c r="F161" s="17"/>
      <c r="G161" s="18"/>
      <c r="H161" s="18"/>
      <c r="I161" s="18">
        <v>27</v>
      </c>
      <c r="J161" s="18">
        <v>18</v>
      </c>
      <c r="K161" s="18"/>
      <c r="L161" s="18"/>
      <c r="M161" s="18"/>
      <c r="N161" s="18"/>
      <c r="O161" s="18"/>
      <c r="P161" s="18"/>
      <c r="Q161" s="19"/>
      <c r="R161" s="19"/>
      <c r="S161" s="19"/>
      <c r="T161" s="19"/>
      <c r="U161" s="8"/>
      <c r="V161" s="28">
        <f t="shared" si="2"/>
        <v>45</v>
      </c>
    </row>
    <row r="162" spans="4:22" ht="15" thickBot="1">
      <c r="D162" s="14" t="s">
        <v>63</v>
      </c>
      <c r="E162" s="14">
        <v>885</v>
      </c>
      <c r="F162" s="17"/>
      <c r="G162" s="18"/>
      <c r="H162" s="18"/>
      <c r="I162" s="18"/>
      <c r="J162" s="18">
        <v>33</v>
      </c>
      <c r="K162" s="18">
        <v>9</v>
      </c>
      <c r="L162" s="18"/>
      <c r="M162" s="18"/>
      <c r="N162" s="18"/>
      <c r="O162" s="18"/>
      <c r="P162" s="18"/>
      <c r="Q162" s="19"/>
      <c r="R162" s="19"/>
      <c r="S162" s="19"/>
      <c r="T162" s="19"/>
      <c r="U162" s="8"/>
      <c r="V162" s="28">
        <f t="shared" si="2"/>
        <v>42</v>
      </c>
    </row>
    <row r="163" spans="4:22" hidden="1">
      <c r="D163" s="14" t="s">
        <v>63</v>
      </c>
      <c r="E163" s="14">
        <v>885</v>
      </c>
      <c r="F163" s="14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9"/>
      <c r="R163" s="19"/>
      <c r="S163" s="19"/>
      <c r="T163" s="19"/>
      <c r="U163" s="8"/>
      <c r="V163" s="28">
        <f t="shared" si="2"/>
        <v>0</v>
      </c>
    </row>
    <row r="164" spans="4:22" hidden="1">
      <c r="D164" s="14" t="s">
        <v>63</v>
      </c>
      <c r="E164" s="14">
        <v>885</v>
      </c>
      <c r="F164" s="14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9"/>
      <c r="R164" s="19"/>
      <c r="S164" s="19"/>
      <c r="T164" s="19"/>
      <c r="U164" s="8"/>
      <c r="V164" s="30">
        <f t="shared" ref="V164:V165" si="3">SUM(F164:U164)</f>
        <v>0</v>
      </c>
    </row>
    <row r="165" spans="4:22" ht="15" hidden="1" thickBot="1">
      <c r="D165" s="14" t="s">
        <v>63</v>
      </c>
      <c r="E165" s="14">
        <v>885</v>
      </c>
      <c r="F165" s="14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9"/>
      <c r="R165" s="19"/>
      <c r="S165" s="19"/>
      <c r="T165" s="19"/>
      <c r="U165" s="8"/>
      <c r="V165" s="30">
        <f t="shared" si="3"/>
        <v>0</v>
      </c>
    </row>
    <row r="166" spans="4:22" ht="16.149999999999999" thickBot="1">
      <c r="D166" s="120" t="s">
        <v>66</v>
      </c>
      <c r="E166" s="121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32">
        <f>SUM(V154:V165)</f>
        <v>402</v>
      </c>
    </row>
    <row r="168" spans="4:22">
      <c r="F168" s="6"/>
      <c r="G168" s="6"/>
      <c r="H168" s="6"/>
      <c r="I168" s="6"/>
      <c r="J168" s="6"/>
      <c r="K168" s="6"/>
    </row>
  </sheetData>
  <mergeCells count="34">
    <mergeCell ref="F141:U141"/>
    <mergeCell ref="F153:U153"/>
    <mergeCell ref="D166:U166"/>
    <mergeCell ref="E16:H16"/>
    <mergeCell ref="F38:U38"/>
    <mergeCell ref="F26:U26"/>
    <mergeCell ref="V36:W36"/>
    <mergeCell ref="V37:W37"/>
    <mergeCell ref="J13:O13"/>
    <mergeCell ref="J14:O14"/>
    <mergeCell ref="J15:O1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J16:O16"/>
    <mergeCell ref="E13:H13"/>
    <mergeCell ref="E14:H14"/>
    <mergeCell ref="E15:H15"/>
    <mergeCell ref="B5:V5"/>
    <mergeCell ref="E10:H10"/>
    <mergeCell ref="J10:O10"/>
    <mergeCell ref="J12:O12"/>
    <mergeCell ref="E9:H9"/>
    <mergeCell ref="J9:O9"/>
    <mergeCell ref="J11:O11"/>
    <mergeCell ref="E11:H11"/>
    <mergeCell ref="E12:H12"/>
  </mergeCells>
  <phoneticPr fontId="13" type="noConversion"/>
  <printOptions horizontalCentered="1"/>
  <pageMargins left="0.25" right="0.25" top="0.75" bottom="0.75" header="0.3" footer="0.3"/>
  <pageSetup paperSize="9" scale="4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5EC7-B8F3-4C46-802C-4442EAE73B9E}">
  <sheetPr>
    <tabColor rgb="FFC00000"/>
    <pageSetUpPr fitToPage="1"/>
  </sheetPr>
  <dimension ref="B1:K11"/>
  <sheetViews>
    <sheetView showGridLines="0" view="pageBreakPreview" zoomScale="82" zoomScaleNormal="82" zoomScaleSheetLayoutView="82" zoomScalePageLayoutView="70" workbookViewId="0">
      <selection activeCell="D22" sqref="D22"/>
    </sheetView>
  </sheetViews>
  <sheetFormatPr defaultColWidth="8.7109375" defaultRowHeight="14.45"/>
  <cols>
    <col min="2" max="2" width="21.42578125" customWidth="1"/>
    <col min="3" max="3" width="30.7109375" customWidth="1"/>
    <col min="4" max="4" width="31.7109375" customWidth="1"/>
    <col min="5" max="5" width="9.5703125" customWidth="1"/>
    <col min="21" max="21" width="11.42578125" customWidth="1"/>
    <col min="22" max="22" width="26.42578125" customWidth="1"/>
    <col min="23" max="23" width="42" customWidth="1"/>
    <col min="24" max="24" width="20.7109375" customWidth="1"/>
    <col min="25" max="25" width="22.7109375" bestFit="1" customWidth="1"/>
  </cols>
  <sheetData>
    <row r="1" spans="2:11" ht="21.6" thickBot="1">
      <c r="B1" s="128" t="s">
        <v>67</v>
      </c>
      <c r="C1" s="129"/>
      <c r="D1" s="129"/>
      <c r="E1" s="129"/>
      <c r="F1" s="129"/>
      <c r="G1" s="129"/>
      <c r="H1" s="129"/>
      <c r="I1" s="129"/>
      <c r="J1" s="129"/>
      <c r="K1" s="129"/>
    </row>
    <row r="2" spans="2:11" ht="21">
      <c r="B2" s="66" t="s">
        <v>68</v>
      </c>
      <c r="C2" s="67" t="s">
        <v>69</v>
      </c>
      <c r="D2" s="67"/>
      <c r="E2" s="68">
        <v>32</v>
      </c>
      <c r="F2" s="68">
        <v>34</v>
      </c>
      <c r="G2" s="68">
        <v>36</v>
      </c>
      <c r="H2" s="68">
        <v>38</v>
      </c>
      <c r="I2" s="68">
        <v>40</v>
      </c>
      <c r="J2" s="68">
        <v>42</v>
      </c>
      <c r="K2" s="69" t="s">
        <v>70</v>
      </c>
    </row>
    <row r="3" spans="2:11" ht="21">
      <c r="B3" s="75"/>
      <c r="C3" s="70" t="s">
        <v>63</v>
      </c>
      <c r="D3" s="70" t="s">
        <v>71</v>
      </c>
      <c r="E3" s="72">
        <v>83</v>
      </c>
      <c r="F3" s="72">
        <v>151</v>
      </c>
      <c r="G3" s="72">
        <v>175</v>
      </c>
      <c r="H3" s="72">
        <v>121</v>
      </c>
      <c r="I3" s="72">
        <v>65</v>
      </c>
      <c r="J3" s="72">
        <v>12</v>
      </c>
      <c r="K3" s="72">
        <f>E3+F3+G3+H3+I3+J3</f>
        <v>607</v>
      </c>
    </row>
    <row r="4" spans="2:11" ht="21">
      <c r="B4" s="75"/>
      <c r="C4" s="70"/>
      <c r="D4" s="70" t="s">
        <v>72</v>
      </c>
      <c r="E4" s="72">
        <v>21</v>
      </c>
      <c r="F4" s="72">
        <v>20</v>
      </c>
      <c r="G4" s="72">
        <v>13</v>
      </c>
      <c r="H4" s="72">
        <v>7</v>
      </c>
      <c r="I4" s="72"/>
      <c r="J4" s="72"/>
      <c r="K4" s="72">
        <f t="shared" ref="K4:K10" si="0">E4+F4+G4+H4+I4+J4</f>
        <v>61</v>
      </c>
    </row>
    <row r="5" spans="2:11" ht="21">
      <c r="B5" s="75"/>
      <c r="C5" s="70"/>
      <c r="D5" s="70" t="s">
        <v>73</v>
      </c>
      <c r="E5" s="72">
        <v>8</v>
      </c>
      <c r="F5" s="72">
        <v>18</v>
      </c>
      <c r="G5" s="72">
        <v>21</v>
      </c>
      <c r="H5" s="72">
        <v>14</v>
      </c>
      <c r="I5" s="72">
        <v>10</v>
      </c>
      <c r="J5" s="72">
        <v>3</v>
      </c>
      <c r="K5" s="72">
        <f t="shared" si="0"/>
        <v>74</v>
      </c>
    </row>
    <row r="6" spans="2:11" ht="21">
      <c r="B6" s="75"/>
      <c r="C6" s="70"/>
      <c r="D6" s="70" t="s">
        <v>74</v>
      </c>
      <c r="E6" s="72">
        <v>12</v>
      </c>
      <c r="F6" s="72">
        <v>9</v>
      </c>
      <c r="G6" s="72">
        <v>10</v>
      </c>
      <c r="H6" s="72">
        <v>5</v>
      </c>
      <c r="I6" s="72">
        <v>3</v>
      </c>
      <c r="J6" s="72"/>
      <c r="K6" s="72">
        <f t="shared" si="0"/>
        <v>39</v>
      </c>
    </row>
    <row r="7" spans="2:11" ht="21">
      <c r="B7" s="75"/>
      <c r="C7" s="70"/>
      <c r="D7" s="70" t="s">
        <v>75</v>
      </c>
      <c r="E7" s="72">
        <v>4</v>
      </c>
      <c r="F7" s="72">
        <v>10</v>
      </c>
      <c r="G7" s="72">
        <v>10</v>
      </c>
      <c r="H7" s="72">
        <v>4</v>
      </c>
      <c r="I7" s="72">
        <v>1</v>
      </c>
      <c r="J7" s="72"/>
      <c r="K7" s="72">
        <f t="shared" si="0"/>
        <v>29</v>
      </c>
    </row>
    <row r="8" spans="2:11" ht="21">
      <c r="B8" s="75"/>
      <c r="C8" s="70"/>
      <c r="D8" s="70"/>
      <c r="E8" s="72"/>
      <c r="F8" s="72"/>
      <c r="G8" s="72"/>
      <c r="H8" s="72"/>
      <c r="I8" s="72"/>
      <c r="J8" s="72"/>
      <c r="K8" s="72">
        <f t="shared" si="0"/>
        <v>0</v>
      </c>
    </row>
    <row r="9" spans="2:11" ht="37.9" customHeight="1">
      <c r="B9" s="76"/>
      <c r="C9" s="70"/>
      <c r="D9" s="74" t="s">
        <v>76</v>
      </c>
      <c r="E9" s="71"/>
      <c r="F9" s="71"/>
      <c r="G9" s="71">
        <v>1</v>
      </c>
      <c r="H9" s="71"/>
      <c r="I9" s="71"/>
      <c r="J9" s="71"/>
      <c r="K9" s="72">
        <f t="shared" si="0"/>
        <v>1</v>
      </c>
    </row>
    <row r="10" spans="2:11" ht="21">
      <c r="B10" s="77"/>
      <c r="C10" s="70"/>
      <c r="D10" s="70" t="s">
        <v>77</v>
      </c>
      <c r="E10" s="72"/>
      <c r="F10" s="72"/>
      <c r="G10" s="72">
        <v>1</v>
      </c>
      <c r="H10" s="72"/>
      <c r="I10" s="72"/>
      <c r="J10" s="72"/>
      <c r="K10" s="72">
        <f t="shared" si="0"/>
        <v>1</v>
      </c>
    </row>
    <row r="11" spans="2:11" ht="21.6" customHeight="1">
      <c r="B11" s="130" t="s">
        <v>78</v>
      </c>
      <c r="C11" s="131"/>
      <c r="D11" s="80" t="s">
        <v>79</v>
      </c>
      <c r="E11" s="78">
        <f>E3-E4-E5-E6-E7-E9-E10</f>
        <v>38</v>
      </c>
      <c r="F11" s="78">
        <f t="shared" ref="F11:J11" si="1">F3-F4-F5-F6-F7-F9-F10</f>
        <v>94</v>
      </c>
      <c r="G11" s="78">
        <f t="shared" si="1"/>
        <v>119</v>
      </c>
      <c r="H11" s="78">
        <f t="shared" si="1"/>
        <v>91</v>
      </c>
      <c r="I11" s="78">
        <f t="shared" si="1"/>
        <v>51</v>
      </c>
      <c r="J11" s="78">
        <f t="shared" si="1"/>
        <v>9</v>
      </c>
      <c r="K11" s="71">
        <f>SUM(E11:J11)</f>
        <v>402</v>
      </c>
    </row>
  </sheetData>
  <mergeCells count="2">
    <mergeCell ref="B1:K1"/>
    <mergeCell ref="B11:C11"/>
  </mergeCells>
  <printOptions horizontalCentered="1"/>
  <pageMargins left="0.25" right="0.25" top="0.75" bottom="0.75" header="0.3" footer="0.3"/>
  <pageSetup paperSize="9" scale="93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A76D6061B98749B938C7CA1DA8F93E" ma:contentTypeVersion="15" ma:contentTypeDescription="Skapa ett nytt dokument." ma:contentTypeScope="" ma:versionID="c1f9e8a675715d2908171cd4bd0dfa79">
  <xsd:schema xmlns:xsd="http://www.w3.org/2001/XMLSchema" xmlns:xs="http://www.w3.org/2001/XMLSchema" xmlns:p="http://schemas.microsoft.com/office/2006/metadata/properties" xmlns:ns2="072e650d-6451-4e2d-badb-c942d096f8e0" xmlns:ns3="7702399b-153a-4d78-b381-b42e32d04866" targetNamespace="http://schemas.microsoft.com/office/2006/metadata/properties" ma:root="true" ma:fieldsID="5013fb691628111486f2b0517d97bd43" ns2:_="" ns3:_="">
    <xsd:import namespace="072e650d-6451-4e2d-badb-c942d096f8e0"/>
    <xsd:import namespace="7702399b-153a-4d78-b381-b42e32d04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e650d-6451-4e2d-badb-c942d096f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e674267b-469d-4265-a355-711aa0fa1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2399b-153a-4d78-b381-b42e32d04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21f272-12a2-406c-b1c4-46492bd9eaa4}" ma:internalName="TaxCatchAll" ma:showField="CatchAllData" ma:web="7702399b-153a-4d78-b381-b42e32d04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2399b-153a-4d78-b381-b42e32d04866" xsi:nil="true"/>
    <lcf76f155ced4ddcb4097134ff3c332f xmlns="072e650d-6451-4e2d-badb-c942d096f8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A3E7D-7FC7-4ABB-9885-BD78554D144D}"/>
</file>

<file path=customXml/itemProps2.xml><?xml version="1.0" encoding="utf-8"?>
<ds:datastoreItem xmlns:ds="http://schemas.openxmlformats.org/officeDocument/2006/customXml" ds:itemID="{DD9885D3-9572-4910-BBB9-A02CD8FDE416}"/>
</file>

<file path=customXml/itemProps3.xml><?xml version="1.0" encoding="utf-8"?>
<ds:datastoreItem xmlns:ds="http://schemas.openxmlformats.org/officeDocument/2006/customXml" ds:itemID="{4B126638-F689-4CB7-B4FC-062BB8EFF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Dwayne Edmondson</dc:creator>
  <cp:keywords/>
  <dc:description/>
  <cp:lastModifiedBy>Slavena Yovanovska</cp:lastModifiedBy>
  <cp:revision/>
  <dcterms:created xsi:type="dcterms:W3CDTF">2013-10-16T19:25:42Z</dcterms:created>
  <dcterms:modified xsi:type="dcterms:W3CDTF">2026-07-30T11:37:27Z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0x0101003BA76D6061B98749B938C7CA1DA8F93E</vt:lpwstr>
  </property>
  <property fmtid="{D5CDD505-2E9C-101B-9397-08002B2CF9AE}" pid="3" name="MediaServiceImageTags">
    <vt:lpwstr/>
  </property>
</Properties>
</file>